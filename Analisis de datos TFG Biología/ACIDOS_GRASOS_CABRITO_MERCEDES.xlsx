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mmerc\Downloads\"/>
    </mc:Choice>
  </mc:AlternateContent>
  <xr:revisionPtr revIDLastSave="0" documentId="13_ncr:1_{9F7350FD-D6CD-4E06-8AC7-7A6A6EA9C9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úsculo LD" sheetId="1" r:id="rId1"/>
    <sheet name="ESTADÍSTICA" sheetId="2" r:id="rId2"/>
    <sheet name="NyH" sheetId="3" r:id="rId3"/>
  </sheets>
  <calcPr calcId="181029"/>
</workbook>
</file>

<file path=xl/calcChain.xml><?xml version="1.0" encoding="utf-8"?>
<calcChain xmlns="http://schemas.openxmlformats.org/spreadsheetml/2006/main">
  <c r="V77" i="1" l="1"/>
  <c r="G77" i="1"/>
  <c r="H77" i="1"/>
  <c r="N77" i="1"/>
  <c r="O77" i="1"/>
  <c r="U77" i="1"/>
  <c r="C101" i="1"/>
  <c r="D101" i="1"/>
  <c r="E101" i="1"/>
  <c r="F101" i="1"/>
  <c r="I101" i="1"/>
  <c r="J101" i="1"/>
  <c r="K101" i="1"/>
  <c r="L101" i="1"/>
  <c r="M101" i="1"/>
  <c r="P101" i="1"/>
  <c r="Q101" i="1"/>
  <c r="R101" i="1"/>
  <c r="S101" i="1"/>
  <c r="T101" i="1"/>
  <c r="C102" i="1"/>
  <c r="D102" i="1"/>
  <c r="E102" i="1"/>
  <c r="F102" i="1"/>
  <c r="I102" i="1"/>
  <c r="J102" i="1"/>
  <c r="K102" i="1"/>
  <c r="L102" i="1"/>
  <c r="M102" i="1"/>
  <c r="P102" i="1"/>
  <c r="Q102" i="1"/>
  <c r="R102" i="1"/>
  <c r="S102" i="1"/>
  <c r="T102" i="1"/>
  <c r="C103" i="1"/>
  <c r="D103" i="1"/>
  <c r="E103" i="1"/>
  <c r="F103" i="1"/>
  <c r="I103" i="1"/>
  <c r="N103" i="1" s="1"/>
  <c r="J103" i="1"/>
  <c r="K103" i="1"/>
  <c r="L103" i="1"/>
  <c r="M103" i="1"/>
  <c r="P103" i="1"/>
  <c r="U103" i="1" s="1"/>
  <c r="Q103" i="1"/>
  <c r="R103" i="1"/>
  <c r="S103" i="1"/>
  <c r="T103" i="1"/>
  <c r="C104" i="1"/>
  <c r="D104" i="1"/>
  <c r="E104" i="1"/>
  <c r="F104" i="1"/>
  <c r="I104" i="1"/>
  <c r="J104" i="1"/>
  <c r="K104" i="1"/>
  <c r="L104" i="1"/>
  <c r="M104" i="1"/>
  <c r="M108" i="1" s="1"/>
  <c r="P104" i="1"/>
  <c r="Q104" i="1"/>
  <c r="R104" i="1"/>
  <c r="S104" i="1"/>
  <c r="S108" i="1" s="1"/>
  <c r="T104" i="1"/>
  <c r="C105" i="1"/>
  <c r="D105" i="1"/>
  <c r="E105" i="1"/>
  <c r="F105" i="1"/>
  <c r="I105" i="1"/>
  <c r="J105" i="1"/>
  <c r="K105" i="1"/>
  <c r="K108" i="1" s="1"/>
  <c r="L105" i="1"/>
  <c r="L108" i="1" s="1"/>
  <c r="M105" i="1"/>
  <c r="P105" i="1"/>
  <c r="Q105" i="1"/>
  <c r="R105" i="1"/>
  <c r="S105" i="1"/>
  <c r="T105" i="1"/>
  <c r="C106" i="1"/>
  <c r="D106" i="1"/>
  <c r="E106" i="1"/>
  <c r="F106" i="1"/>
  <c r="I106" i="1"/>
  <c r="J106" i="1"/>
  <c r="K106" i="1"/>
  <c r="L106" i="1"/>
  <c r="M106" i="1"/>
  <c r="P106" i="1"/>
  <c r="Q106" i="1"/>
  <c r="R106" i="1"/>
  <c r="S106" i="1"/>
  <c r="T106" i="1"/>
  <c r="C107" i="1"/>
  <c r="D107" i="1"/>
  <c r="E107" i="1"/>
  <c r="F107" i="1"/>
  <c r="I107" i="1"/>
  <c r="J107" i="1"/>
  <c r="K107" i="1"/>
  <c r="L107" i="1"/>
  <c r="M107" i="1"/>
  <c r="P107" i="1"/>
  <c r="Q107" i="1"/>
  <c r="R107" i="1"/>
  <c r="S107" i="1"/>
  <c r="T107" i="1"/>
  <c r="C108" i="1"/>
  <c r="D108" i="1"/>
  <c r="B102" i="1"/>
  <c r="B101" i="1"/>
  <c r="B104" i="1"/>
  <c r="G104" i="1" s="1"/>
  <c r="B103" i="1"/>
  <c r="G103" i="1" s="1"/>
  <c r="T50" i="1"/>
  <c r="T51" i="1" s="1"/>
  <c r="AC50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AO50" i="1"/>
  <c r="AL50" i="1"/>
  <c r="AI50" i="1"/>
  <c r="AF50" i="1"/>
  <c r="G101" i="1" l="1"/>
  <c r="G102" i="1"/>
  <c r="O106" i="1"/>
  <c r="R108" i="1"/>
  <c r="F108" i="1"/>
  <c r="Q108" i="1"/>
  <c r="E108" i="1"/>
  <c r="O101" i="1"/>
  <c r="N101" i="1"/>
  <c r="O102" i="1"/>
  <c r="N102" i="1"/>
  <c r="U101" i="1"/>
  <c r="N107" i="1"/>
  <c r="U106" i="1"/>
  <c r="T108" i="1"/>
  <c r="O104" i="1"/>
  <c r="V102" i="1"/>
  <c r="H104" i="1"/>
  <c r="O107" i="1"/>
  <c r="N106" i="1"/>
  <c r="N104" i="1"/>
  <c r="H102" i="1"/>
  <c r="U107" i="1"/>
  <c r="O103" i="1"/>
  <c r="V104" i="1"/>
  <c r="U104" i="1"/>
  <c r="J108" i="1"/>
  <c r="H103" i="1"/>
  <c r="V107" i="1"/>
  <c r="V103" i="1"/>
  <c r="I108" i="1"/>
  <c r="V106" i="1"/>
  <c r="U102" i="1"/>
  <c r="P108" i="1"/>
  <c r="H101" i="1"/>
  <c r="O105" i="1"/>
  <c r="V105" i="1"/>
  <c r="V101" i="1"/>
  <c r="N105" i="1"/>
  <c r="U105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B107" i="1"/>
  <c r="B106" i="1"/>
  <c r="B105" i="1"/>
  <c r="V66" i="1"/>
  <c r="U66" i="1"/>
  <c r="O66" i="1"/>
  <c r="N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H66" i="1"/>
  <c r="G66" i="1"/>
  <c r="AR50" i="1"/>
  <c r="AR51" i="1" s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" i="1"/>
  <c r="N50" i="1"/>
  <c r="N51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" i="1"/>
  <c r="K50" i="1"/>
  <c r="L50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" i="1"/>
  <c r="H50" i="1"/>
  <c r="H51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8" i="1"/>
  <c r="C29" i="1"/>
  <c r="C30" i="1"/>
  <c r="C31" i="1"/>
  <c r="C32" i="1"/>
  <c r="C33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B34" i="1"/>
  <c r="C34" i="1" s="1"/>
  <c r="Q50" i="1"/>
  <c r="R50" i="1" s="1"/>
  <c r="R51" i="1" s="1"/>
  <c r="C5" i="1"/>
  <c r="Y5" i="1"/>
  <c r="AT43" i="1"/>
  <c r="AT37" i="1"/>
  <c r="AT28" i="1"/>
  <c r="AN43" i="1"/>
  <c r="AN37" i="1"/>
  <c r="AK43" i="1"/>
  <c r="AN28" i="1"/>
  <c r="AK28" i="1"/>
  <c r="AH28" i="1"/>
  <c r="AE28" i="1"/>
  <c r="AB28" i="1"/>
  <c r="Y28" i="1"/>
  <c r="G43" i="1"/>
  <c r="D43" i="1"/>
  <c r="G37" i="1"/>
  <c r="D37" i="1"/>
  <c r="D28" i="1"/>
  <c r="AE43" i="1"/>
  <c r="AB43" i="1"/>
  <c r="AE37" i="1"/>
  <c r="AB37" i="1"/>
  <c r="S37" i="1"/>
  <c r="P37" i="1"/>
  <c r="S28" i="1"/>
  <c r="P28" i="1"/>
  <c r="W50" i="1"/>
  <c r="W51" i="1" s="1"/>
  <c r="P27" i="1"/>
  <c r="M27" i="1"/>
  <c r="J27" i="1"/>
  <c r="E50" i="1"/>
  <c r="E51" i="1" s="1"/>
  <c r="B50" i="1"/>
  <c r="C50" i="1" s="1"/>
  <c r="D27" i="1"/>
  <c r="AT27" i="1"/>
  <c r="AT26" i="1"/>
  <c r="AQ37" i="1"/>
  <c r="AQ28" i="1"/>
  <c r="AQ27" i="1"/>
  <c r="AQ26" i="1"/>
  <c r="AN27" i="1"/>
  <c r="AN26" i="1"/>
  <c r="AI51" i="1"/>
  <c r="AK27" i="1"/>
  <c r="AK26" i="1"/>
  <c r="AF51" i="1"/>
  <c r="AH27" i="1"/>
  <c r="AH26" i="1"/>
  <c r="AC51" i="1"/>
  <c r="AE27" i="1"/>
  <c r="AE26" i="1"/>
  <c r="Z50" i="1"/>
  <c r="Z51" i="1" s="1"/>
  <c r="AB27" i="1"/>
  <c r="AB26" i="1"/>
  <c r="Y27" i="1"/>
  <c r="Y26" i="1"/>
  <c r="V26" i="1"/>
  <c r="S27" i="1"/>
  <c r="S26" i="1"/>
  <c r="P43" i="1"/>
  <c r="P26" i="1"/>
  <c r="M26" i="1"/>
  <c r="J26" i="1"/>
  <c r="D26" i="1"/>
  <c r="AT49" i="1"/>
  <c r="AT48" i="1"/>
  <c r="AT47" i="1"/>
  <c r="AT46" i="1"/>
  <c r="AT45" i="1"/>
  <c r="AT44" i="1"/>
  <c r="AT42" i="1"/>
  <c r="AT41" i="1"/>
  <c r="AT40" i="1"/>
  <c r="AT39" i="1"/>
  <c r="AT38" i="1"/>
  <c r="AT36" i="1"/>
  <c r="AT35" i="1"/>
  <c r="AT34" i="1"/>
  <c r="AT33" i="1"/>
  <c r="AT32" i="1"/>
  <c r="AT31" i="1"/>
  <c r="AT30" i="1"/>
  <c r="AT29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Q49" i="1"/>
  <c r="AQ48" i="1"/>
  <c r="AQ47" i="1"/>
  <c r="AQ46" i="1"/>
  <c r="AQ45" i="1"/>
  <c r="AQ44" i="1"/>
  <c r="AQ42" i="1"/>
  <c r="AQ41" i="1"/>
  <c r="AQ40" i="1"/>
  <c r="AQ39" i="1"/>
  <c r="AQ38" i="1"/>
  <c r="AQ36" i="1"/>
  <c r="AQ35" i="1"/>
  <c r="AQ34" i="1"/>
  <c r="AQ33" i="1"/>
  <c r="AQ32" i="1"/>
  <c r="AQ31" i="1"/>
  <c r="AQ30" i="1"/>
  <c r="AQ29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N49" i="1"/>
  <c r="AN48" i="1"/>
  <c r="AN47" i="1"/>
  <c r="AN46" i="1"/>
  <c r="AN45" i="1"/>
  <c r="AN44" i="1"/>
  <c r="AN42" i="1"/>
  <c r="AN41" i="1"/>
  <c r="AN40" i="1"/>
  <c r="AN39" i="1"/>
  <c r="AN38" i="1"/>
  <c r="AN36" i="1"/>
  <c r="AN35" i="1"/>
  <c r="AN34" i="1"/>
  <c r="AN33" i="1"/>
  <c r="AN32" i="1"/>
  <c r="AN31" i="1"/>
  <c r="AN30" i="1"/>
  <c r="AN29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G105" i="1" l="1"/>
  <c r="H105" i="1"/>
  <c r="H106" i="1"/>
  <c r="G106" i="1"/>
  <c r="U108" i="1"/>
  <c r="V108" i="1"/>
  <c r="N108" i="1"/>
  <c r="O108" i="1"/>
  <c r="G107" i="1"/>
  <c r="H107" i="1"/>
  <c r="B108" i="1"/>
  <c r="Q51" i="1"/>
  <c r="F50" i="1"/>
  <c r="K51" i="1"/>
  <c r="AS50" i="1"/>
  <c r="AS51" i="1" s="1"/>
  <c r="B51" i="1"/>
  <c r="I50" i="1"/>
  <c r="O50" i="1"/>
  <c r="AA50" i="1"/>
  <c r="X50" i="1"/>
  <c r="AO51" i="1"/>
  <c r="AM51" i="1"/>
  <c r="AP51" i="1"/>
  <c r="AL51" i="1"/>
  <c r="C51" i="1"/>
  <c r="AN50" i="1"/>
  <c r="AN51" i="1" s="1"/>
  <c r="AQ50" i="1"/>
  <c r="AQ51" i="1" s="1"/>
  <c r="AT50" i="1"/>
  <c r="H108" i="1" l="1"/>
  <c r="G108" i="1"/>
  <c r="AT51" i="1"/>
  <c r="AT52" i="1" s="1"/>
  <c r="AN52" i="1"/>
  <c r="AQ52" i="1"/>
  <c r="AE50" i="1" l="1"/>
  <c r="AB50" i="1"/>
  <c r="V50" i="1"/>
  <c r="S50" i="1"/>
  <c r="P50" i="1"/>
  <c r="G50" i="1"/>
  <c r="D50" i="1"/>
  <c r="AK49" i="1"/>
  <c r="AH49" i="1"/>
  <c r="AE49" i="1"/>
  <c r="AB49" i="1"/>
  <c r="Y49" i="1"/>
  <c r="V49" i="1"/>
  <c r="S49" i="1"/>
  <c r="P49" i="1"/>
  <c r="M49" i="1"/>
  <c r="J49" i="1"/>
  <c r="G49" i="1"/>
  <c r="D49" i="1"/>
  <c r="AK48" i="1"/>
  <c r="AH48" i="1"/>
  <c r="AE48" i="1"/>
  <c r="AB48" i="1"/>
  <c r="Y48" i="1"/>
  <c r="V48" i="1"/>
  <c r="S48" i="1"/>
  <c r="P48" i="1"/>
  <c r="M48" i="1"/>
  <c r="J48" i="1"/>
  <c r="G48" i="1"/>
  <c r="D48" i="1"/>
  <c r="AK47" i="1"/>
  <c r="AH47" i="1"/>
  <c r="AE47" i="1"/>
  <c r="AB47" i="1"/>
  <c r="Y47" i="1"/>
  <c r="V47" i="1"/>
  <c r="S47" i="1"/>
  <c r="P47" i="1"/>
  <c r="M47" i="1"/>
  <c r="J47" i="1"/>
  <c r="G47" i="1"/>
  <c r="D47" i="1"/>
  <c r="AK46" i="1"/>
  <c r="AH46" i="1"/>
  <c r="AE46" i="1"/>
  <c r="AB46" i="1"/>
  <c r="Y46" i="1"/>
  <c r="V46" i="1"/>
  <c r="S46" i="1"/>
  <c r="P46" i="1"/>
  <c r="M46" i="1"/>
  <c r="J46" i="1"/>
  <c r="G46" i="1"/>
  <c r="D46" i="1"/>
  <c r="AK45" i="1"/>
  <c r="AH45" i="1"/>
  <c r="AE45" i="1"/>
  <c r="AB45" i="1"/>
  <c r="Y45" i="1"/>
  <c r="V45" i="1"/>
  <c r="S45" i="1"/>
  <c r="P45" i="1"/>
  <c r="M45" i="1"/>
  <c r="J45" i="1"/>
  <c r="G45" i="1"/>
  <c r="D45" i="1"/>
  <c r="AK44" i="1"/>
  <c r="AH44" i="1"/>
  <c r="AE44" i="1"/>
  <c r="AB44" i="1"/>
  <c r="Y44" i="1"/>
  <c r="V44" i="1"/>
  <c r="S44" i="1"/>
  <c r="P44" i="1"/>
  <c r="M44" i="1"/>
  <c r="J44" i="1"/>
  <c r="G44" i="1"/>
  <c r="D44" i="1"/>
  <c r="AK42" i="1"/>
  <c r="AH42" i="1"/>
  <c r="AE42" i="1"/>
  <c r="AB42" i="1"/>
  <c r="Y42" i="1"/>
  <c r="V42" i="1"/>
  <c r="S42" i="1"/>
  <c r="P42" i="1"/>
  <c r="M42" i="1"/>
  <c r="J42" i="1"/>
  <c r="G42" i="1"/>
  <c r="D42" i="1"/>
  <c r="AK41" i="1"/>
  <c r="AH41" i="1"/>
  <c r="AE41" i="1"/>
  <c r="AB41" i="1"/>
  <c r="Y41" i="1"/>
  <c r="V41" i="1"/>
  <c r="S41" i="1"/>
  <c r="P41" i="1"/>
  <c r="M41" i="1"/>
  <c r="J41" i="1"/>
  <c r="G41" i="1"/>
  <c r="D41" i="1"/>
  <c r="AK40" i="1"/>
  <c r="AH40" i="1"/>
  <c r="AE40" i="1"/>
  <c r="AB40" i="1"/>
  <c r="Y40" i="1"/>
  <c r="V40" i="1"/>
  <c r="S40" i="1"/>
  <c r="P40" i="1"/>
  <c r="M40" i="1"/>
  <c r="J40" i="1"/>
  <c r="G40" i="1"/>
  <c r="D40" i="1"/>
  <c r="AK39" i="1"/>
  <c r="AH39" i="1"/>
  <c r="AE39" i="1"/>
  <c r="AB39" i="1"/>
  <c r="Y39" i="1"/>
  <c r="V39" i="1"/>
  <c r="S39" i="1"/>
  <c r="P39" i="1"/>
  <c r="M39" i="1"/>
  <c r="J39" i="1"/>
  <c r="G39" i="1"/>
  <c r="D39" i="1"/>
  <c r="AK38" i="1"/>
  <c r="AH38" i="1"/>
  <c r="AE38" i="1"/>
  <c r="AB38" i="1"/>
  <c r="Y38" i="1"/>
  <c r="V38" i="1"/>
  <c r="S38" i="1"/>
  <c r="P38" i="1"/>
  <c r="M38" i="1"/>
  <c r="J38" i="1"/>
  <c r="G38" i="1"/>
  <c r="D38" i="1"/>
  <c r="AK36" i="1"/>
  <c r="AH36" i="1"/>
  <c r="AE36" i="1"/>
  <c r="AB36" i="1"/>
  <c r="Y36" i="1"/>
  <c r="V36" i="1"/>
  <c r="S36" i="1"/>
  <c r="P36" i="1"/>
  <c r="M36" i="1"/>
  <c r="J36" i="1"/>
  <c r="G36" i="1"/>
  <c r="D36" i="1"/>
  <c r="AK35" i="1"/>
  <c r="AH35" i="1"/>
  <c r="AE35" i="1"/>
  <c r="AB35" i="1"/>
  <c r="Y35" i="1"/>
  <c r="V35" i="1"/>
  <c r="S35" i="1"/>
  <c r="P35" i="1"/>
  <c r="M35" i="1"/>
  <c r="J35" i="1"/>
  <c r="G35" i="1"/>
  <c r="D35" i="1"/>
  <c r="AK34" i="1"/>
  <c r="AH34" i="1"/>
  <c r="AE34" i="1"/>
  <c r="AB34" i="1"/>
  <c r="Y34" i="1"/>
  <c r="V34" i="1"/>
  <c r="S34" i="1"/>
  <c r="P34" i="1"/>
  <c r="M34" i="1"/>
  <c r="J34" i="1"/>
  <c r="G34" i="1"/>
  <c r="D34" i="1"/>
  <c r="AK33" i="1"/>
  <c r="AH33" i="1"/>
  <c r="AE33" i="1"/>
  <c r="AB33" i="1"/>
  <c r="Y33" i="1"/>
  <c r="V33" i="1"/>
  <c r="S33" i="1"/>
  <c r="P33" i="1"/>
  <c r="M33" i="1"/>
  <c r="J33" i="1"/>
  <c r="G33" i="1"/>
  <c r="D33" i="1"/>
  <c r="AK32" i="1"/>
  <c r="AH32" i="1"/>
  <c r="AE32" i="1"/>
  <c r="AB32" i="1"/>
  <c r="Y32" i="1"/>
  <c r="V32" i="1"/>
  <c r="S32" i="1"/>
  <c r="P32" i="1"/>
  <c r="M32" i="1"/>
  <c r="J32" i="1"/>
  <c r="G32" i="1"/>
  <c r="D32" i="1"/>
  <c r="AK31" i="1"/>
  <c r="AH31" i="1"/>
  <c r="AE31" i="1"/>
  <c r="AB31" i="1"/>
  <c r="Y31" i="1"/>
  <c r="V31" i="1"/>
  <c r="S31" i="1"/>
  <c r="P31" i="1"/>
  <c r="M31" i="1"/>
  <c r="J31" i="1"/>
  <c r="G31" i="1"/>
  <c r="D31" i="1"/>
  <c r="AK30" i="1"/>
  <c r="AH30" i="1"/>
  <c r="AE30" i="1"/>
  <c r="AB30" i="1"/>
  <c r="Y30" i="1"/>
  <c r="V30" i="1"/>
  <c r="S30" i="1"/>
  <c r="P30" i="1"/>
  <c r="M30" i="1"/>
  <c r="J30" i="1"/>
  <c r="G30" i="1"/>
  <c r="D30" i="1"/>
  <c r="AK29" i="1"/>
  <c r="AH29" i="1"/>
  <c r="AE29" i="1"/>
  <c r="AB29" i="1"/>
  <c r="Y29" i="1"/>
  <c r="V29" i="1"/>
  <c r="S29" i="1"/>
  <c r="P29" i="1"/>
  <c r="M29" i="1"/>
  <c r="J29" i="1"/>
  <c r="G29" i="1"/>
  <c r="D29" i="1"/>
  <c r="AK25" i="1"/>
  <c r="AH25" i="1"/>
  <c r="AE25" i="1"/>
  <c r="AB25" i="1"/>
  <c r="Y25" i="1"/>
  <c r="V25" i="1"/>
  <c r="S25" i="1"/>
  <c r="P25" i="1"/>
  <c r="M25" i="1"/>
  <c r="J25" i="1"/>
  <c r="G25" i="1"/>
  <c r="D25" i="1"/>
  <c r="AK24" i="1"/>
  <c r="AH24" i="1"/>
  <c r="AE24" i="1"/>
  <c r="AB24" i="1"/>
  <c r="Y24" i="1"/>
  <c r="V24" i="1"/>
  <c r="S24" i="1"/>
  <c r="P24" i="1"/>
  <c r="M24" i="1"/>
  <c r="J24" i="1"/>
  <c r="G24" i="1"/>
  <c r="D24" i="1"/>
  <c r="AK23" i="1"/>
  <c r="AH23" i="1"/>
  <c r="AE23" i="1"/>
  <c r="AB23" i="1"/>
  <c r="Y23" i="1"/>
  <c r="V23" i="1"/>
  <c r="S23" i="1"/>
  <c r="P23" i="1"/>
  <c r="M23" i="1"/>
  <c r="J23" i="1"/>
  <c r="G23" i="1"/>
  <c r="D23" i="1"/>
  <c r="AK22" i="1"/>
  <c r="AH22" i="1"/>
  <c r="AE22" i="1"/>
  <c r="AB22" i="1"/>
  <c r="Y22" i="1"/>
  <c r="V22" i="1"/>
  <c r="S22" i="1"/>
  <c r="P22" i="1"/>
  <c r="M22" i="1"/>
  <c r="J22" i="1"/>
  <c r="G22" i="1"/>
  <c r="D22" i="1"/>
  <c r="AK21" i="1"/>
  <c r="AH21" i="1"/>
  <c r="AE21" i="1"/>
  <c r="AB21" i="1"/>
  <c r="Y21" i="1"/>
  <c r="V21" i="1"/>
  <c r="S21" i="1"/>
  <c r="P21" i="1"/>
  <c r="M21" i="1"/>
  <c r="J21" i="1"/>
  <c r="G21" i="1"/>
  <c r="D21" i="1"/>
  <c r="AK20" i="1"/>
  <c r="AH20" i="1"/>
  <c r="AE20" i="1"/>
  <c r="AB20" i="1"/>
  <c r="Y20" i="1"/>
  <c r="V20" i="1"/>
  <c r="S20" i="1"/>
  <c r="P20" i="1"/>
  <c r="M20" i="1"/>
  <c r="J20" i="1"/>
  <c r="G20" i="1"/>
  <c r="D20" i="1"/>
  <c r="AK19" i="1"/>
  <c r="AH19" i="1"/>
  <c r="AE19" i="1"/>
  <c r="AB19" i="1"/>
  <c r="Y19" i="1"/>
  <c r="V19" i="1"/>
  <c r="S19" i="1"/>
  <c r="P19" i="1"/>
  <c r="M19" i="1"/>
  <c r="J19" i="1"/>
  <c r="G19" i="1"/>
  <c r="D19" i="1"/>
  <c r="AK18" i="1"/>
  <c r="AH18" i="1"/>
  <c r="AE18" i="1"/>
  <c r="AB18" i="1"/>
  <c r="Y18" i="1"/>
  <c r="V18" i="1"/>
  <c r="S18" i="1"/>
  <c r="P18" i="1"/>
  <c r="M18" i="1"/>
  <c r="J18" i="1"/>
  <c r="G18" i="1"/>
  <c r="D18" i="1"/>
  <c r="AK17" i="1"/>
  <c r="AH17" i="1"/>
  <c r="AE17" i="1"/>
  <c r="AB17" i="1"/>
  <c r="Y17" i="1"/>
  <c r="V17" i="1"/>
  <c r="S17" i="1"/>
  <c r="P17" i="1"/>
  <c r="M17" i="1"/>
  <c r="J17" i="1"/>
  <c r="G17" i="1"/>
  <c r="D17" i="1"/>
  <c r="AK16" i="1"/>
  <c r="AH16" i="1"/>
  <c r="AE16" i="1"/>
  <c r="AB16" i="1"/>
  <c r="Y16" i="1"/>
  <c r="V16" i="1"/>
  <c r="S16" i="1"/>
  <c r="P16" i="1"/>
  <c r="M16" i="1"/>
  <c r="J16" i="1"/>
  <c r="G16" i="1"/>
  <c r="D16" i="1"/>
  <c r="AK15" i="1"/>
  <c r="AH15" i="1"/>
  <c r="AE15" i="1"/>
  <c r="AB15" i="1"/>
  <c r="Y15" i="1"/>
  <c r="V15" i="1"/>
  <c r="S15" i="1"/>
  <c r="P15" i="1"/>
  <c r="M15" i="1"/>
  <c r="J15" i="1"/>
  <c r="G15" i="1"/>
  <c r="D15" i="1"/>
  <c r="AK14" i="1"/>
  <c r="AH14" i="1"/>
  <c r="AE14" i="1"/>
  <c r="AB14" i="1"/>
  <c r="Y14" i="1"/>
  <c r="V14" i="1"/>
  <c r="S14" i="1"/>
  <c r="P14" i="1"/>
  <c r="M14" i="1"/>
  <c r="J14" i="1"/>
  <c r="G14" i="1"/>
  <c r="D14" i="1"/>
  <c r="AK13" i="1"/>
  <c r="AH13" i="1"/>
  <c r="AE13" i="1"/>
  <c r="AB13" i="1"/>
  <c r="Y13" i="1"/>
  <c r="V13" i="1"/>
  <c r="S13" i="1"/>
  <c r="P13" i="1"/>
  <c r="M13" i="1"/>
  <c r="J13" i="1"/>
  <c r="G13" i="1"/>
  <c r="D13" i="1"/>
  <c r="AK12" i="1"/>
  <c r="AH12" i="1"/>
  <c r="AE12" i="1"/>
  <c r="AB12" i="1"/>
  <c r="Y12" i="1"/>
  <c r="V12" i="1"/>
  <c r="S12" i="1"/>
  <c r="P12" i="1"/>
  <c r="M12" i="1"/>
  <c r="J12" i="1"/>
  <c r="G12" i="1"/>
  <c r="D12" i="1"/>
  <c r="AK11" i="1"/>
  <c r="AH11" i="1"/>
  <c r="AE11" i="1"/>
  <c r="AB11" i="1"/>
  <c r="Y11" i="1"/>
  <c r="V11" i="1"/>
  <c r="S11" i="1"/>
  <c r="P11" i="1"/>
  <c r="M11" i="1"/>
  <c r="J11" i="1"/>
  <c r="G11" i="1"/>
  <c r="D11" i="1"/>
  <c r="AK10" i="1"/>
  <c r="AH10" i="1"/>
  <c r="AE10" i="1"/>
  <c r="AB10" i="1"/>
  <c r="Y10" i="1"/>
  <c r="V10" i="1"/>
  <c r="S10" i="1"/>
  <c r="P10" i="1"/>
  <c r="M10" i="1"/>
  <c r="J10" i="1"/>
  <c r="G10" i="1"/>
  <c r="D10" i="1"/>
  <c r="AK9" i="1"/>
  <c r="AH9" i="1"/>
  <c r="AE9" i="1"/>
  <c r="AB9" i="1"/>
  <c r="Y9" i="1"/>
  <c r="V9" i="1"/>
  <c r="S9" i="1"/>
  <c r="P9" i="1"/>
  <c r="M9" i="1"/>
  <c r="J9" i="1"/>
  <c r="G9" i="1"/>
  <c r="D9" i="1"/>
  <c r="AK8" i="1"/>
  <c r="AH8" i="1"/>
  <c r="AE8" i="1"/>
  <c r="AB8" i="1"/>
  <c r="Y8" i="1"/>
  <c r="V8" i="1"/>
  <c r="S8" i="1"/>
  <c r="P8" i="1"/>
  <c r="M8" i="1"/>
  <c r="J8" i="1"/>
  <c r="G8" i="1"/>
  <c r="D8" i="1"/>
  <c r="AK7" i="1"/>
  <c r="AH7" i="1"/>
  <c r="AE7" i="1"/>
  <c r="AB7" i="1"/>
  <c r="Y7" i="1"/>
  <c r="V7" i="1"/>
  <c r="S7" i="1"/>
  <c r="P7" i="1"/>
  <c r="M7" i="1"/>
  <c r="J7" i="1"/>
  <c r="G7" i="1"/>
  <c r="D7" i="1"/>
  <c r="AK6" i="1"/>
  <c r="AH6" i="1"/>
  <c r="AE6" i="1"/>
  <c r="AB6" i="1"/>
  <c r="Y6" i="1"/>
  <c r="V6" i="1"/>
  <c r="S6" i="1"/>
  <c r="P6" i="1"/>
  <c r="M6" i="1"/>
  <c r="J6" i="1"/>
  <c r="G6" i="1"/>
  <c r="D6" i="1"/>
  <c r="AK5" i="1"/>
  <c r="AH5" i="1"/>
  <c r="AE5" i="1"/>
  <c r="AB5" i="1"/>
  <c r="V5" i="1"/>
  <c r="S5" i="1"/>
  <c r="P5" i="1"/>
  <c r="M5" i="1"/>
  <c r="J5" i="1"/>
  <c r="G5" i="1"/>
  <c r="D5" i="1"/>
  <c r="AD51" i="1" l="1"/>
  <c r="P51" i="1"/>
  <c r="P52" i="1" s="1"/>
  <c r="F51" i="1"/>
  <c r="S51" i="1"/>
  <c r="G51" i="1"/>
  <c r="U51" i="1"/>
  <c r="AH51" i="1"/>
  <c r="D51" i="1"/>
  <c r="AE51" i="1"/>
  <c r="AE52" i="1" s="1"/>
  <c r="V51" i="1"/>
  <c r="V52" i="1" s="1"/>
  <c r="X51" i="1"/>
  <c r="AA51" i="1"/>
  <c r="O51" i="1"/>
  <c r="AB51" i="1"/>
  <c r="AB52" i="1" s="1"/>
  <c r="S52" i="1"/>
  <c r="G52" i="1"/>
  <c r="D52" i="1"/>
  <c r="I51" i="1"/>
  <c r="Y50" i="1"/>
  <c r="Y51" i="1" s="1"/>
  <c r="AG51" i="1"/>
  <c r="J50" i="1"/>
  <c r="AH50" i="1"/>
  <c r="AH52" i="1" s="1"/>
  <c r="L51" i="1"/>
  <c r="AJ51" i="1"/>
  <c r="M50" i="1"/>
  <c r="AK50" i="1"/>
  <c r="Y52" i="1" l="1"/>
  <c r="AK51" i="1"/>
  <c r="AK52" i="1" s="1"/>
  <c r="J51" i="1"/>
  <c r="J52" i="1" s="1"/>
  <c r="M51" i="1"/>
  <c r="M52" i="1" s="1"/>
</calcChain>
</file>

<file path=xl/sharedStrings.xml><?xml version="1.0" encoding="utf-8"?>
<sst xmlns="http://schemas.openxmlformats.org/spreadsheetml/2006/main" count="2279" uniqueCount="253">
  <si>
    <t>Con 19:0</t>
  </si>
  <si>
    <t>ECHIUM</t>
  </si>
  <si>
    <t>LINAZA</t>
  </si>
  <si>
    <t>SOJA</t>
  </si>
  <si>
    <t>14:0</t>
  </si>
  <si>
    <t>14:1 n-5</t>
  </si>
  <si>
    <t>15:0</t>
  </si>
  <si>
    <t>16:0 DMA</t>
  </si>
  <si>
    <t>16:0</t>
  </si>
  <si>
    <t>16:1 n-9</t>
  </si>
  <si>
    <t>16:1n-7</t>
  </si>
  <si>
    <t>16:1 n-5</t>
  </si>
  <si>
    <t>17:0</t>
  </si>
  <si>
    <t>17:1 n-7</t>
  </si>
  <si>
    <t>16:3 n-4</t>
  </si>
  <si>
    <t>18:0 DMA</t>
  </si>
  <si>
    <t>18:1n-9 DMA</t>
  </si>
  <si>
    <t>18:1 n-7 DMA</t>
  </si>
  <si>
    <t>18:1 n-5 DMA</t>
  </si>
  <si>
    <t>18:0</t>
  </si>
  <si>
    <t>18:1 n-9</t>
  </si>
  <si>
    <t>18:1 n-7</t>
  </si>
  <si>
    <t>18:1 n-5</t>
  </si>
  <si>
    <t>18:2 n-6 LA</t>
  </si>
  <si>
    <t>18:3 n-6 GLA</t>
  </si>
  <si>
    <t>19:0</t>
  </si>
  <si>
    <t>18:3 n-4</t>
  </si>
  <si>
    <t>18:3 n-3 LNA</t>
  </si>
  <si>
    <t>18:4 n-3 SDA</t>
  </si>
  <si>
    <t>20:0</t>
  </si>
  <si>
    <t>20:1 n-11</t>
  </si>
  <si>
    <t>20:1 n-9</t>
  </si>
  <si>
    <t>20:2 n-6</t>
  </si>
  <si>
    <t>20:3 n-6</t>
  </si>
  <si>
    <t>20:3 n-3</t>
  </si>
  <si>
    <t>20:4 n-6 ARA</t>
  </si>
  <si>
    <t>20:5 n-3 EPA</t>
  </si>
  <si>
    <t>22:0</t>
  </si>
  <si>
    <t>22:1n-11</t>
  </si>
  <si>
    <t>22:1 n-9</t>
  </si>
  <si>
    <t>22:4 n-6</t>
  </si>
  <si>
    <t>22:5 n-6</t>
  </si>
  <si>
    <t>22:5 n-3</t>
  </si>
  <si>
    <t>24:0</t>
  </si>
  <si>
    <t>22:6 n-3 DHA</t>
  </si>
  <si>
    <t>24:1 n-9</t>
  </si>
  <si>
    <t>UK</t>
  </si>
  <si>
    <t>TOTAL (%)</t>
  </si>
  <si>
    <t>TOTAL mg a.g./100g tejido</t>
  </si>
  <si>
    <t>LT (%)</t>
  </si>
  <si>
    <t>LT (mg)</t>
  </si>
  <si>
    <t>Peso  muestra (mg)</t>
  </si>
  <si>
    <t>Sin 19:0</t>
  </si>
  <si>
    <t>Ácidos grasos %</t>
  </si>
  <si>
    <t>20:4n-3</t>
  </si>
  <si>
    <t>3AJUS</t>
  </si>
  <si>
    <t>1AJUS</t>
  </si>
  <si>
    <t>1BAS</t>
  </si>
  <si>
    <t>2AJUS</t>
  </si>
  <si>
    <t>2ABS</t>
  </si>
  <si>
    <t>3ABS</t>
  </si>
  <si>
    <t>4AJUS</t>
  </si>
  <si>
    <t>4ABS</t>
  </si>
  <si>
    <t>5AJUS</t>
  </si>
  <si>
    <t>5ABS</t>
  </si>
  <si>
    <t>10AJUS</t>
  </si>
  <si>
    <t>10ABS</t>
  </si>
  <si>
    <t>11AJUS</t>
  </si>
  <si>
    <t>11ABS</t>
  </si>
  <si>
    <t>12AJUST</t>
  </si>
  <si>
    <t>12ABS</t>
  </si>
  <si>
    <t>13AJUST</t>
  </si>
  <si>
    <t>13ABS</t>
  </si>
  <si>
    <t>14AJUST</t>
  </si>
  <si>
    <t>14ABS</t>
  </si>
  <si>
    <t>17AJUST</t>
  </si>
  <si>
    <t>17ABS</t>
  </si>
  <si>
    <t>18AJUST</t>
  </si>
  <si>
    <t>18ABS</t>
  </si>
  <si>
    <t>19AJUST</t>
  </si>
  <si>
    <t>19ABS</t>
  </si>
  <si>
    <t>20AJUST</t>
  </si>
  <si>
    <t>20ABS</t>
  </si>
  <si>
    <t>21AJUST</t>
  </si>
  <si>
    <t>21ABS</t>
  </si>
  <si>
    <t>12:0</t>
  </si>
  <si>
    <t>23:0</t>
  </si>
  <si>
    <t>14.6</t>
  </si>
  <si>
    <t>20: 4n-3</t>
  </si>
  <si>
    <t>media</t>
  </si>
  <si>
    <t>SD</t>
  </si>
  <si>
    <t>Copiar columna ajustada</t>
  </si>
  <si>
    <t>SFA</t>
  </si>
  <si>
    <t>MUFA</t>
  </si>
  <si>
    <t>PUFA</t>
  </si>
  <si>
    <t>n6 PUFA</t>
  </si>
  <si>
    <t>n3 PUFA</t>
  </si>
  <si>
    <t>n6 LC-PUFA</t>
  </si>
  <si>
    <t>n3 LC-PUFA</t>
  </si>
  <si>
    <t>n6/n3</t>
  </si>
  <si>
    <t>DIETA</t>
  </si>
  <si>
    <t>Shapiro-Wilk</t>
  </si>
  <si>
    <t>Estadístico</t>
  </si>
  <si>
    <t>gl</t>
  </si>
  <si>
    <t>Sig.</t>
  </si>
  <si>
    <t>@120</t>
  </si>
  <si>
    <t>@140</t>
  </si>
  <si>
    <t>@141n5</t>
  </si>
  <si>
    <t>@160DMA</t>
  </si>
  <si>
    <t>@160</t>
  </si>
  <si>
    <t>@161n9</t>
  </si>
  <si>
    <t>@161n7</t>
  </si>
  <si>
    <t>@170</t>
  </si>
  <si>
    <t>@171n7</t>
  </si>
  <si>
    <t>@180DMA</t>
  </si>
  <si>
    <t>@181n9DMA</t>
  </si>
  <si>
    <t>@180</t>
  </si>
  <si>
    <t>@181n9</t>
  </si>
  <si>
    <t>@181n7</t>
  </si>
  <si>
    <t>@182n6LA</t>
  </si>
  <si>
    <t>@183n6GLA</t>
  </si>
  <si>
    <t>@183n3LNA</t>
  </si>
  <si>
    <t>@184n3SDA</t>
  </si>
  <si>
    <t>@200</t>
  </si>
  <si>
    <t>@201n9</t>
  </si>
  <si>
    <t>@202n6</t>
  </si>
  <si>
    <t>@203n6</t>
  </si>
  <si>
    <t>@203n3</t>
  </si>
  <si>
    <t>@204n3</t>
  </si>
  <si>
    <t>@204n6ARA</t>
  </si>
  <si>
    <t>@205n3EPA</t>
  </si>
  <si>
    <t>@220</t>
  </si>
  <si>
    <t>@224n6</t>
  </si>
  <si>
    <t>@225n6</t>
  </si>
  <si>
    <t>@225n3</t>
  </si>
  <si>
    <t>@240</t>
  </si>
  <si>
    <t>@226n3DHA</t>
  </si>
  <si>
    <t>@241n9</t>
  </si>
  <si>
    <t>n6PUFA</t>
  </si>
  <si>
    <t>n3PUFA</t>
  </si>
  <si>
    <t>n6LCPUFA</t>
  </si>
  <si>
    <t>n3LCPUFA</t>
  </si>
  <si>
    <t>n6n3</t>
  </si>
  <si>
    <t>*. Este es un límite inferior de la significación verdadera.</t>
  </si>
  <si>
    <t>a. Corrección de la significación de Lilliefors</t>
  </si>
  <si>
    <t>c. @184n3SDA es una constante cuando DIETA = SOJA y se ha desestimado.</t>
  </si>
  <si>
    <t>d. @203n3 es una constante cuando DIETA = SOJA y se ha desestimado.</t>
  </si>
  <si>
    <t>e. @204n3 es una constante cuando DIETA = SOJA y se ha desestimado.</t>
  </si>
  <si>
    <t>f. @204n3 es una constante cuando DIETA = LINAZA y se ha desestimado.</t>
  </si>
  <si>
    <t>g. @240 es una constante cuando DIETA = LINAZA y se ha desestimado.</t>
  </si>
  <si>
    <t>h. @240 es una constante cuando DIETA = ECHIUM y se ha desestimado.</t>
  </si>
  <si>
    <r>
      <t>Pruebas de normalidad</t>
    </r>
    <r>
      <rPr>
        <b/>
        <vertAlign val="superscript"/>
        <sz val="9"/>
        <color indexed="8"/>
        <rFont val="Arial Bold"/>
      </rPr>
      <t>c,d,e,f,g,h</t>
    </r>
  </si>
  <si>
    <r>
      <t>Kolmogorov-Smirnov</t>
    </r>
    <r>
      <rPr>
        <vertAlign val="superscript"/>
        <sz val="9"/>
        <color indexed="8"/>
        <rFont val="Arial"/>
      </rPr>
      <t>a</t>
    </r>
  </si>
  <si>
    <r>
      <t>,200</t>
    </r>
    <r>
      <rPr>
        <vertAlign val="superscript"/>
        <sz val="9"/>
        <color indexed="8"/>
        <rFont val="Arial"/>
      </rPr>
      <t>*</t>
    </r>
  </si>
  <si>
    <t>Prueba de homogeneidad de varianzas</t>
  </si>
  <si>
    <t/>
  </si>
  <si>
    <t>Estadístico de Levene</t>
  </si>
  <si>
    <t>gl1</t>
  </si>
  <si>
    <t>gl2</t>
  </si>
  <si>
    <t>ANOVA de un factor</t>
  </si>
  <si>
    <t>Suma de cuadrados</t>
  </si>
  <si>
    <t>Media cuadrática</t>
  </si>
  <si>
    <t>F</t>
  </si>
  <si>
    <t>Inter-grupos</t>
  </si>
  <si>
    <t>Intra-grupos</t>
  </si>
  <si>
    <t>Total</t>
  </si>
  <si>
    <t>Welch</t>
  </si>
  <si>
    <t>Brown-Forsythe</t>
  </si>
  <si>
    <t>a. Distribuidos en F asintóticamente.</t>
  </si>
  <si>
    <t>b. No se pueden realizar las pruebas robustas de la igualdad de medias para @184n3SDA porque al menos un grupo tiene varianza 0.</t>
  </si>
  <si>
    <t>c. No se pueden realizar las pruebas robustas de la igualdad de medias para @203n3 porque al menos un grupo tiene varianza 0.</t>
  </si>
  <si>
    <t>d. No se pueden realizar las pruebas robustas de la igualdad de medias para @204n3 porque al menos un grupo tiene varianza 0.</t>
  </si>
  <si>
    <t>e. No se pueden realizar las pruebas robustas de la igualdad de medias para @240 porque al menos un grupo tiene varianza 0.</t>
  </si>
  <si>
    <r>
      <t>Pruebas robustas de igualdad de las medias</t>
    </r>
    <r>
      <rPr>
        <b/>
        <vertAlign val="superscript"/>
        <sz val="9"/>
        <color indexed="8"/>
        <rFont val="Arial Bold"/>
      </rPr>
      <t>b,c,d,e</t>
    </r>
  </si>
  <si>
    <r>
      <t>Estadístico</t>
    </r>
    <r>
      <rPr>
        <vertAlign val="superscript"/>
        <sz val="9"/>
        <color indexed="8"/>
        <rFont val="Arial"/>
        <family val="2"/>
      </rPr>
      <t>a</t>
    </r>
  </si>
  <si>
    <t>Comparaciones múltiples</t>
  </si>
  <si>
    <t>Variable dependiente</t>
  </si>
  <si>
    <t>Diferencia de medias (I-J)</t>
  </si>
  <si>
    <t>Error típico</t>
  </si>
  <si>
    <t>Intervalo de confianza al 95%</t>
  </si>
  <si>
    <t>Límite inferior</t>
  </si>
  <si>
    <t>Límite superior</t>
  </si>
  <si>
    <t>HSD de Tukey</t>
  </si>
  <si>
    <t>Tamhane</t>
  </si>
  <si>
    <t>T3 de Dunnett</t>
  </si>
  <si>
    <t>(I) DIETA</t>
  </si>
  <si>
    <t>(J) DIETA</t>
  </si>
  <si>
    <t>-,045476709638798*</t>
  </si>
  <si>
    <t>,045476709638798*</t>
  </si>
  <si>
    <t>-,375765707471928*</t>
  </si>
  <si>
    <t>-,325028846877151*</t>
  </si>
  <si>
    <t>,375765707471928*</t>
  </si>
  <si>
    <t>,325028846877151*</t>
  </si>
  <si>
    <t>-2,017051660043003*</t>
  </si>
  <si>
    <t>-1,190001327121188*</t>
  </si>
  <si>
    <t>2,017051660043003*</t>
  </si>
  <si>
    <t>,827050332921915*</t>
  </si>
  <si>
    <t>1,190001327121188*</t>
  </si>
  <si>
    <t>-,827050332921915*</t>
  </si>
  <si>
    <t>-,148603438958119*</t>
  </si>
  <si>
    <t>-,376364459798571*</t>
  </si>
  <si>
    <t>,148603438958119*</t>
  </si>
  <si>
    <t>-,227761020840552*</t>
  </si>
  <si>
    <t>,376364459798571*</t>
  </si>
  <si>
    <t>,227761020840552*</t>
  </si>
  <si>
    <t>-,137166037993787*</t>
  </si>
  <si>
    <t>-,119082881072165*</t>
  </si>
  <si>
    <t>,137166037993787*</t>
  </si>
  <si>
    <t>,119082881072165*</t>
  </si>
  <si>
    <t>-,122714548097664*</t>
  </si>
  <si>
    <t>,122714548097664*</t>
  </si>
  <si>
    <t>.</t>
  </si>
  <si>
    <t>-,425382763664244*</t>
  </si>
  <si>
    <t>,425382763664244*</t>
  </si>
  <si>
    <t>-,300325183516704*</t>
  </si>
  <si>
    <t>,300325183516704*</t>
  </si>
  <si>
    <t>,133922846266165*</t>
  </si>
  <si>
    <t>-,133922846266165*</t>
  </si>
  <si>
    <t>-2,753067207930038*</t>
  </si>
  <si>
    <t>-2,351027575556279*</t>
  </si>
  <si>
    <t>2,753067207930038*</t>
  </si>
  <si>
    <t>2,351027575556279*</t>
  </si>
  <si>
    <t>7,576497091770373*</t>
  </si>
  <si>
    <t>7,448324063023679*</t>
  </si>
  <si>
    <t>-7,576497091770373*</t>
  </si>
  <si>
    <t>-7,448324063023679*</t>
  </si>
  <si>
    <t>* La diferencia de medias es significativa al nivel 0.05.</t>
  </si>
  <si>
    <t>POST HOC</t>
  </si>
  <si>
    <t>SFAs</t>
  </si>
  <si>
    <t>MUFAs</t>
  </si>
  <si>
    <t>16:1n-9</t>
  </si>
  <si>
    <t>18:1n-9</t>
  </si>
  <si>
    <t>18:1n-7</t>
  </si>
  <si>
    <t>n6 PUFAs</t>
  </si>
  <si>
    <t>18:2n-6</t>
  </si>
  <si>
    <t>18:3n-6</t>
  </si>
  <si>
    <t>20:2n-6</t>
  </si>
  <si>
    <t>20:3n-6</t>
  </si>
  <si>
    <t>20:4n-6</t>
  </si>
  <si>
    <t>22:4n-6</t>
  </si>
  <si>
    <t>22:5n-6</t>
  </si>
  <si>
    <t>n3 PUFAS</t>
  </si>
  <si>
    <t>18:3n-3</t>
  </si>
  <si>
    <t>18:4n-3</t>
  </si>
  <si>
    <t>20:3n-3</t>
  </si>
  <si>
    <t>20:5n-3</t>
  </si>
  <si>
    <t>22:5n-3</t>
  </si>
  <si>
    <t>22:6n-3n</t>
  </si>
  <si>
    <t>n-6 LC-PUFAs</t>
  </si>
  <si>
    <t>n-3 LC-PUFAs</t>
  </si>
  <si>
    <t>n-6/n-3</t>
  </si>
  <si>
    <t>LT</t>
  </si>
  <si>
    <t>Ácidos grasos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</si>
</sst>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.000"/>
    <numFmt numFmtId="165" formatCode="###0"/>
    <numFmt numFmtId="166" formatCode="###0.000"/>
  </numFmts>
  <fonts count="13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</font>
    <font>
      <b/>
      <vertAlign val="superscript"/>
      <sz val="9"/>
      <color indexed="8"/>
      <name val="Arial Bold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sz val="9"/>
      <color indexed="8"/>
      <name val="Arial"/>
      <family val="2"/>
    </font>
    <font>
      <sz val="10"/>
      <name val="Arial"/>
      <family val="2"/>
    </font>
    <font>
      <vertAlign val="superscript"/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3">
    <xf numFmtId="0" fontId="0" fillId="0" borderId="0"/>
    <xf numFmtId="0" fontId="5" fillId="0" borderId="2"/>
    <xf numFmtId="0" fontId="11" fillId="0" borderId="2"/>
  </cellStyleXfs>
  <cellXfs count="115">
    <xf numFmtId="0" fontId="0" fillId="0" borderId="0" xfId="0"/>
    <xf numFmtId="49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/>
    </xf>
    <xf numFmtId="2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1" fillId="0" borderId="0" xfId="0" applyNumberFormat="1" applyFont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5" xfId="0" applyFont="1" applyBorder="1"/>
    <xf numFmtId="2" fontId="2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3" fillId="2" borderId="8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2" fontId="2" fillId="2" borderId="8" xfId="0" quotePrefix="1" applyNumberFormat="1" applyFont="1" applyFill="1" applyBorder="1" applyAlignment="1">
      <alignment horizontal="center"/>
    </xf>
    <xf numFmtId="2" fontId="2" fillId="0" borderId="0" xfId="0" applyNumberFormat="1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5" fillId="0" borderId="2" xfId="1"/>
    <xf numFmtId="0" fontId="8" fillId="0" borderId="17" xfId="1" applyFont="1" applyBorder="1" applyAlignment="1">
      <alignment horizontal="center" wrapText="1"/>
    </xf>
    <xf numFmtId="0" fontId="8" fillId="0" borderId="18" xfId="1" applyFont="1" applyBorder="1" applyAlignment="1">
      <alignment horizontal="center" wrapText="1"/>
    </xf>
    <xf numFmtId="0" fontId="8" fillId="0" borderId="19" xfId="1" applyFont="1" applyBorder="1" applyAlignment="1">
      <alignment horizontal="center" wrapText="1"/>
    </xf>
    <xf numFmtId="0" fontId="8" fillId="0" borderId="11" xfId="1" applyFont="1" applyBorder="1" applyAlignment="1">
      <alignment horizontal="left" vertical="top" wrapText="1"/>
    </xf>
    <xf numFmtId="164" fontId="8" fillId="0" borderId="20" xfId="1" applyNumberFormat="1" applyFont="1" applyBorder="1" applyAlignment="1">
      <alignment horizontal="right" vertical="center"/>
    </xf>
    <xf numFmtId="165" fontId="8" fillId="0" borderId="21" xfId="1" applyNumberFormat="1" applyFont="1" applyBorder="1" applyAlignment="1">
      <alignment horizontal="right" vertical="center"/>
    </xf>
    <xf numFmtId="0" fontId="8" fillId="0" borderId="21" xfId="1" applyFont="1" applyBorder="1" applyAlignment="1">
      <alignment horizontal="right" vertical="center"/>
    </xf>
    <xf numFmtId="164" fontId="8" fillId="0" borderId="21" xfId="1" applyNumberFormat="1" applyFont="1" applyBorder="1" applyAlignment="1">
      <alignment horizontal="right" vertical="center"/>
    </xf>
    <xf numFmtId="0" fontId="8" fillId="0" borderId="22" xfId="1" applyFont="1" applyBorder="1" applyAlignment="1">
      <alignment horizontal="left" vertical="top" wrapText="1"/>
    </xf>
    <xf numFmtId="0" fontId="8" fillId="0" borderId="23" xfId="1" applyFont="1" applyBorder="1" applyAlignment="1">
      <alignment horizontal="left" vertical="top" wrapText="1"/>
    </xf>
    <xf numFmtId="164" fontId="8" fillId="0" borderId="24" xfId="1" applyNumberFormat="1" applyFont="1" applyBorder="1" applyAlignment="1">
      <alignment horizontal="right" vertical="center"/>
    </xf>
    <xf numFmtId="165" fontId="8" fillId="0" borderId="25" xfId="1" applyNumberFormat="1" applyFont="1" applyBorder="1" applyAlignment="1">
      <alignment horizontal="right" vertical="center"/>
    </xf>
    <xf numFmtId="0" fontId="8" fillId="0" borderId="25" xfId="1" applyFont="1" applyBorder="1" applyAlignment="1">
      <alignment horizontal="right" vertical="center"/>
    </xf>
    <xf numFmtId="164" fontId="8" fillId="0" borderId="25" xfId="1" applyNumberFormat="1" applyFont="1" applyBorder="1" applyAlignment="1">
      <alignment horizontal="right" vertical="center"/>
    </xf>
    <xf numFmtId="164" fontId="8" fillId="0" borderId="26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left" vertical="top" wrapText="1"/>
    </xf>
    <xf numFmtId="164" fontId="8" fillId="0" borderId="27" xfId="1" applyNumberFormat="1" applyFont="1" applyBorder="1" applyAlignment="1">
      <alignment horizontal="right" vertical="center"/>
    </xf>
    <xf numFmtId="165" fontId="8" fillId="0" borderId="28" xfId="1" applyNumberFormat="1" applyFont="1" applyBorder="1" applyAlignment="1">
      <alignment horizontal="right" vertical="center"/>
    </xf>
    <xf numFmtId="164" fontId="8" fillId="0" borderId="28" xfId="1" applyNumberFormat="1" applyFont="1" applyBorder="1" applyAlignment="1">
      <alignment horizontal="right" vertical="center"/>
    </xf>
    <xf numFmtId="0" fontId="10" fillId="0" borderId="30" xfId="2" applyFont="1" applyBorder="1" applyAlignment="1">
      <alignment horizontal="center" wrapText="1"/>
    </xf>
    <xf numFmtId="0" fontId="10" fillId="0" borderId="31" xfId="2" applyFont="1" applyBorder="1" applyAlignment="1">
      <alignment horizontal="center" wrapText="1"/>
    </xf>
    <xf numFmtId="0" fontId="10" fillId="0" borderId="32" xfId="2" applyFont="1" applyBorder="1" applyAlignment="1">
      <alignment horizontal="center" wrapText="1"/>
    </xf>
    <xf numFmtId="0" fontId="10" fillId="0" borderId="33" xfId="2" applyFont="1" applyBorder="1" applyAlignment="1">
      <alignment horizontal="left" vertical="top" wrapText="1"/>
    </xf>
    <xf numFmtId="164" fontId="10" fillId="0" borderId="20" xfId="2" applyNumberFormat="1" applyFont="1" applyBorder="1" applyAlignment="1">
      <alignment horizontal="right" vertical="center"/>
    </xf>
    <xf numFmtId="165" fontId="10" fillId="0" borderId="21" xfId="2" applyNumberFormat="1" applyFont="1" applyBorder="1" applyAlignment="1">
      <alignment horizontal="right" vertical="center"/>
    </xf>
    <xf numFmtId="0" fontId="10" fillId="0" borderId="34" xfId="2" applyFont="1" applyBorder="1" applyAlignment="1">
      <alignment horizontal="left" vertical="top" wrapText="1"/>
    </xf>
    <xf numFmtId="164" fontId="10" fillId="0" borderId="24" xfId="2" applyNumberFormat="1" applyFont="1" applyBorder="1" applyAlignment="1">
      <alignment horizontal="right" vertical="center"/>
    </xf>
    <xf numFmtId="165" fontId="10" fillId="0" borderId="25" xfId="2" applyNumberFormat="1" applyFont="1" applyBorder="1" applyAlignment="1">
      <alignment horizontal="right" vertical="center"/>
    </xf>
    <xf numFmtId="166" fontId="10" fillId="0" borderId="24" xfId="2" applyNumberFormat="1" applyFont="1" applyBorder="1" applyAlignment="1">
      <alignment horizontal="right" vertical="center"/>
    </xf>
    <xf numFmtId="0" fontId="10" fillId="0" borderId="35" xfId="2" applyFont="1" applyBorder="1" applyAlignment="1">
      <alignment horizontal="left" vertical="top" wrapText="1"/>
    </xf>
    <xf numFmtId="164" fontId="10" fillId="0" borderId="27" xfId="2" applyNumberFormat="1" applyFont="1" applyBorder="1" applyAlignment="1">
      <alignment horizontal="right" vertical="center"/>
    </xf>
    <xf numFmtId="165" fontId="10" fillId="0" borderId="28" xfId="2" applyNumberFormat="1" applyFont="1" applyBorder="1" applyAlignment="1">
      <alignment horizontal="right" vertical="center"/>
    </xf>
    <xf numFmtId="0" fontId="10" fillId="0" borderId="11" xfId="2" applyFont="1" applyBorder="1" applyAlignment="1">
      <alignment horizontal="left" vertical="top" wrapText="1"/>
    </xf>
    <xf numFmtId="164" fontId="10" fillId="0" borderId="21" xfId="2" applyNumberFormat="1" applyFont="1" applyBorder="1" applyAlignment="1">
      <alignment horizontal="right" vertical="center"/>
    </xf>
    <xf numFmtId="0" fontId="10" fillId="0" borderId="23" xfId="2" applyFont="1" applyBorder="1" applyAlignment="1">
      <alignment horizontal="left" vertical="top" wrapText="1"/>
    </xf>
    <xf numFmtId="164" fontId="10" fillId="0" borderId="25" xfId="2" applyNumberFormat="1" applyFont="1" applyBorder="1" applyAlignment="1">
      <alignment horizontal="right" vertical="center"/>
    </xf>
    <xf numFmtId="0" fontId="10" fillId="0" borderId="25" xfId="2" applyFont="1" applyBorder="1" applyAlignment="1">
      <alignment horizontal="left" vertical="center" wrapText="1"/>
    </xf>
    <xf numFmtId="166" fontId="10" fillId="0" borderId="25" xfId="2" applyNumberFormat="1" applyFont="1" applyBorder="1" applyAlignment="1">
      <alignment horizontal="right" vertical="center"/>
    </xf>
    <xf numFmtId="0" fontId="10" fillId="0" borderId="16" xfId="2" applyFont="1" applyBorder="1" applyAlignment="1">
      <alignment horizontal="left" vertical="top" wrapText="1"/>
    </xf>
    <xf numFmtId="166" fontId="10" fillId="0" borderId="27" xfId="2" applyNumberFormat="1" applyFont="1" applyBorder="1" applyAlignment="1">
      <alignment horizontal="right" vertical="center"/>
    </xf>
    <xf numFmtId="0" fontId="10" fillId="0" borderId="28" xfId="2" applyFont="1" applyBorder="1" applyAlignment="1">
      <alignment horizontal="left" vertical="center" wrapText="1"/>
    </xf>
    <xf numFmtId="0" fontId="11" fillId="0" borderId="2" xfId="2"/>
    <xf numFmtId="166" fontId="10" fillId="0" borderId="21" xfId="2" applyNumberFormat="1" applyFont="1" applyBorder="1" applyAlignment="1">
      <alignment horizontal="right" vertical="center"/>
    </xf>
    <xf numFmtId="0" fontId="10" fillId="0" borderId="24" xfId="2" applyFont="1" applyBorder="1" applyAlignment="1">
      <alignment horizontal="right" vertical="center"/>
    </xf>
    <xf numFmtId="0" fontId="10" fillId="0" borderId="25" xfId="2" applyFont="1" applyBorder="1" applyAlignment="1">
      <alignment horizontal="right" vertical="center"/>
    </xf>
    <xf numFmtId="166" fontId="10" fillId="0" borderId="28" xfId="2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center"/>
    </xf>
    <xf numFmtId="2" fontId="1" fillId="4" borderId="2" xfId="0" applyNumberFormat="1" applyFont="1" applyFill="1" applyBorder="1" applyAlignment="1">
      <alignment horizontal="center" vertical="center"/>
    </xf>
    <xf numFmtId="0" fontId="0" fillId="0" borderId="0" xfId="0"/>
    <xf numFmtId="2" fontId="1" fillId="3" borderId="2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8" fillId="0" borderId="22" xfId="1" applyFont="1" applyBorder="1" applyAlignment="1">
      <alignment horizontal="left" vertical="top" wrapText="1"/>
    </xf>
    <xf numFmtId="0" fontId="8" fillId="0" borderId="13" xfId="1" applyFont="1" applyBorder="1" applyAlignment="1">
      <alignment horizontal="center" wrapText="1"/>
    </xf>
    <xf numFmtId="0" fontId="8" fillId="0" borderId="14" xfId="1" applyFont="1" applyBorder="1" applyAlignment="1">
      <alignment horizontal="center" wrapText="1"/>
    </xf>
    <xf numFmtId="0" fontId="8" fillId="0" borderId="10" xfId="1" applyFont="1" applyBorder="1" applyAlignment="1">
      <alignment horizontal="left" vertical="top" wrapText="1"/>
    </xf>
    <xf numFmtId="0" fontId="8" fillId="0" borderId="15" xfId="1" applyFont="1" applyBorder="1" applyAlignment="1">
      <alignment horizontal="left" vertical="top" wrapText="1"/>
    </xf>
    <xf numFmtId="0" fontId="8" fillId="0" borderId="2" xfId="1" applyFont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10" fillId="0" borderId="22" xfId="2" applyFont="1" applyBorder="1" applyAlignment="1">
      <alignment horizontal="left" vertical="top" wrapText="1"/>
    </xf>
    <xf numFmtId="0" fontId="7" fillId="0" borderId="2" xfId="2" applyFont="1" applyAlignment="1">
      <alignment horizontal="center" vertical="center" wrapText="1"/>
    </xf>
    <xf numFmtId="0" fontId="10" fillId="0" borderId="29" xfId="2" applyFont="1" applyBorder="1" applyAlignment="1">
      <alignment horizontal="left" wrapText="1"/>
    </xf>
    <xf numFmtId="0" fontId="10" fillId="0" borderId="36" xfId="2" applyFont="1" applyBorder="1" applyAlignment="1">
      <alignment horizontal="left" wrapText="1"/>
    </xf>
    <xf numFmtId="0" fontId="10" fillId="0" borderId="37" xfId="2" applyFont="1" applyBorder="1" applyAlignment="1">
      <alignment horizontal="left" wrapText="1"/>
    </xf>
    <xf numFmtId="0" fontId="7" fillId="0" borderId="2" xfId="1" applyFont="1" applyAlignment="1">
      <alignment horizontal="center" vertical="center" wrapText="1"/>
    </xf>
    <xf numFmtId="0" fontId="8" fillId="0" borderId="10" xfId="1" applyFont="1" applyBorder="1" applyAlignment="1">
      <alignment horizontal="left" wrapText="1"/>
    </xf>
    <xf numFmtId="0" fontId="8" fillId="0" borderId="11" xfId="1" applyFont="1" applyBorder="1" applyAlignment="1">
      <alignment horizontal="left" wrapText="1"/>
    </xf>
    <xf numFmtId="0" fontId="8" fillId="0" borderId="15" xfId="1" applyFont="1" applyBorder="1" applyAlignment="1">
      <alignment horizontal="left" wrapText="1"/>
    </xf>
    <xf numFmtId="0" fontId="8" fillId="0" borderId="16" xfId="1" applyFont="1" applyBorder="1" applyAlignment="1">
      <alignment horizontal="left" wrapText="1"/>
    </xf>
    <xf numFmtId="0" fontId="8" fillId="0" borderId="12" xfId="1" applyFont="1" applyBorder="1" applyAlignment="1">
      <alignment horizontal="center" wrapText="1"/>
    </xf>
    <xf numFmtId="0" fontId="10" fillId="0" borderId="15" xfId="2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0" fillId="0" borderId="2" xfId="2" applyFont="1" applyAlignment="1">
      <alignment horizontal="left" vertical="top" wrapText="1"/>
    </xf>
  </cellXfs>
  <cellStyles count="3">
    <cellStyle name="Normal" xfId="0" builtinId="0"/>
    <cellStyle name="Normal_NyH" xfId="1" xr:uid="{89572E9B-931F-4E1A-A285-4E3051DDF737}"/>
    <cellStyle name="Normal_NyH_1" xfId="2" xr:uid="{6A1BC1C5-CBDD-4A0F-8789-0F92FA7285D7}"/>
  </cellStyles>
  <dxfs count="5"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</dxfs>
  <tableStyles count="0" defaultTableStyle="TableStyleMedium2" defaultPivotStyle="PivotStyleLight16"/>
  <colors>
    <mruColors>
      <color rgb="FFFFBDBD"/>
      <color rgb="FFFB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10"/>
  <sheetViews>
    <sheetView tabSelected="1" topLeftCell="A108" zoomScale="71" zoomScaleNormal="70" workbookViewId="0">
      <pane xSplit="1" topLeftCell="B1" activePane="topRight" state="frozen"/>
      <selection pane="topRight" activeCell="B116" sqref="B116"/>
    </sheetView>
  </sheetViews>
  <sheetFormatPr baseColWidth="10" defaultColWidth="14.36328125" defaultRowHeight="15" customHeight="1"/>
  <cols>
    <col min="1" max="1" width="14.7265625" customWidth="1"/>
    <col min="2" max="25" width="11" customWidth="1"/>
    <col min="26" max="32" width="10.7265625" customWidth="1"/>
    <col min="33" max="35" width="11" customWidth="1"/>
    <col min="36" max="48" width="10.7265625" customWidth="1"/>
  </cols>
  <sheetData>
    <row r="1" spans="1:48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2"/>
      <c r="U1" s="2"/>
      <c r="V1" s="2"/>
      <c r="W1" s="4"/>
      <c r="X1" s="4"/>
      <c r="Y1" s="4"/>
      <c r="Z1" s="5"/>
      <c r="AA1" s="5"/>
      <c r="AB1" s="5"/>
      <c r="AC1" s="5"/>
      <c r="AD1" s="5"/>
      <c r="AE1" s="5"/>
      <c r="AF1" s="5"/>
      <c r="AG1" s="2"/>
      <c r="AH1" s="2"/>
      <c r="AI1" s="2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ht="14.25" customHeight="1">
      <c r="A2" s="1" t="s">
        <v>0</v>
      </c>
      <c r="B2" s="89"/>
      <c r="C2" s="91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2"/>
      <c r="U2" s="2"/>
      <c r="V2" s="2"/>
      <c r="W2" s="4"/>
      <c r="X2" s="4"/>
      <c r="Y2" s="4"/>
      <c r="Z2" s="5"/>
      <c r="AA2" s="5"/>
      <c r="AB2" s="5"/>
      <c r="AC2" s="5"/>
      <c r="AD2" s="5"/>
      <c r="AE2" s="5"/>
      <c r="AF2" s="5"/>
      <c r="AG2" s="2"/>
      <c r="AH2" s="2"/>
      <c r="AI2" s="2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ht="20.399999999999999" customHeight="1" thickBot="1">
      <c r="A3" s="6"/>
      <c r="B3" s="92" t="s">
        <v>3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 t="s">
        <v>2</v>
      </c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0" t="s">
        <v>1</v>
      </c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7"/>
      <c r="AV3" s="7"/>
    </row>
    <row r="4" spans="1:48" ht="14.25" customHeight="1">
      <c r="A4" s="1" t="s">
        <v>53</v>
      </c>
      <c r="B4" s="26">
        <v>1</v>
      </c>
      <c r="C4" s="15" t="s">
        <v>56</v>
      </c>
      <c r="D4" s="15" t="s">
        <v>57</v>
      </c>
      <c r="E4" s="28">
        <v>2</v>
      </c>
      <c r="F4" s="15" t="s">
        <v>58</v>
      </c>
      <c r="G4" s="15" t="s">
        <v>59</v>
      </c>
      <c r="H4" s="28">
        <v>3</v>
      </c>
      <c r="I4" s="15" t="s">
        <v>55</v>
      </c>
      <c r="J4" s="15" t="s">
        <v>60</v>
      </c>
      <c r="K4" s="28">
        <v>4</v>
      </c>
      <c r="L4" s="15" t="s">
        <v>61</v>
      </c>
      <c r="M4" s="15" t="s">
        <v>62</v>
      </c>
      <c r="N4" s="28">
        <v>5</v>
      </c>
      <c r="O4" s="15" t="s">
        <v>63</v>
      </c>
      <c r="P4" s="15" t="s">
        <v>64</v>
      </c>
      <c r="Q4" s="15">
        <v>10</v>
      </c>
      <c r="R4" s="15" t="s">
        <v>65</v>
      </c>
      <c r="S4" s="15" t="s">
        <v>66</v>
      </c>
      <c r="T4" s="28">
        <v>11</v>
      </c>
      <c r="U4" s="15" t="s">
        <v>67</v>
      </c>
      <c r="V4" s="15" t="s">
        <v>68</v>
      </c>
      <c r="W4" s="32">
        <v>12</v>
      </c>
      <c r="X4" s="16" t="s">
        <v>69</v>
      </c>
      <c r="Y4" s="16" t="s">
        <v>70</v>
      </c>
      <c r="Z4" s="28">
        <v>13</v>
      </c>
      <c r="AA4" s="15" t="s">
        <v>71</v>
      </c>
      <c r="AB4" s="15" t="s">
        <v>72</v>
      </c>
      <c r="AC4" s="28">
        <v>14</v>
      </c>
      <c r="AD4" s="15" t="s">
        <v>73</v>
      </c>
      <c r="AE4" s="15" t="s">
        <v>74</v>
      </c>
      <c r="AF4" s="28">
        <v>17</v>
      </c>
      <c r="AG4" s="15" t="s">
        <v>75</v>
      </c>
      <c r="AH4" s="15" t="s">
        <v>76</v>
      </c>
      <c r="AI4" s="28">
        <v>18</v>
      </c>
      <c r="AJ4" s="15" t="s">
        <v>77</v>
      </c>
      <c r="AK4" s="15" t="s">
        <v>78</v>
      </c>
      <c r="AL4" s="28">
        <v>19</v>
      </c>
      <c r="AM4" s="25" t="s">
        <v>79</v>
      </c>
      <c r="AN4" s="25" t="s">
        <v>80</v>
      </c>
      <c r="AO4" s="34">
        <v>20</v>
      </c>
      <c r="AP4" s="25" t="s">
        <v>81</v>
      </c>
      <c r="AQ4" s="25" t="s">
        <v>82</v>
      </c>
      <c r="AR4" s="34">
        <v>21</v>
      </c>
      <c r="AS4" s="25" t="s">
        <v>83</v>
      </c>
      <c r="AT4" s="25" t="s">
        <v>84</v>
      </c>
      <c r="AU4" s="5"/>
      <c r="AV4" s="5"/>
    </row>
    <row r="5" spans="1:48" ht="14.25" customHeight="1">
      <c r="A5" s="8" t="s">
        <v>85</v>
      </c>
      <c r="B5" s="27">
        <v>0.64</v>
      </c>
      <c r="C5" s="21">
        <f>B5*100/(100-$B$27)</f>
        <v>0.6817213463996592</v>
      </c>
      <c r="D5" s="21">
        <f t="shared" ref="D5:D50" si="0">((B5*50*B$54/B$26)/B$55)*100</f>
        <v>0</v>
      </c>
      <c r="E5" s="27">
        <v>0.48</v>
      </c>
      <c r="F5" s="21">
        <f>E5*100/(100-$E$27)</f>
        <v>0.51298493106764997</v>
      </c>
      <c r="G5" s="21">
        <f t="shared" ref="G5:G25" si="1">((E5*50*E$54/E$26)/E$55)*100</f>
        <v>0</v>
      </c>
      <c r="H5" s="27">
        <v>0.44</v>
      </c>
      <c r="I5" s="21">
        <f>H5*100/(100-$H$27)</f>
        <v>0.47475183426845052</v>
      </c>
      <c r="J5" s="21">
        <f t="shared" ref="J5:J42" si="2">((H5*50*H$54/H$26)/H$55)*100</f>
        <v>0</v>
      </c>
      <c r="K5" s="27">
        <v>0.21</v>
      </c>
      <c r="L5" s="21">
        <f>100*K5/(100-$K$27)</f>
        <v>0.22653721682847897</v>
      </c>
      <c r="M5" s="21">
        <f t="shared" ref="M5:M42" si="3">((K5*50*K$54/K$26)/K$55)*100</f>
        <v>0</v>
      </c>
      <c r="N5" s="27">
        <v>0.84</v>
      </c>
      <c r="O5" s="21">
        <f>N5*100/(100-$N$27)</f>
        <v>0.90128755364806867</v>
      </c>
      <c r="P5" s="21">
        <f t="shared" ref="P5:P50" si="4">((N5*50*N$54/N$26)/N$55)*100</f>
        <v>0</v>
      </c>
      <c r="Q5" s="27">
        <v>0.31</v>
      </c>
      <c r="R5" s="21">
        <f>Q5*100/(100-$Q$27)</f>
        <v>0.33222591362126247</v>
      </c>
      <c r="S5" s="21">
        <f t="shared" ref="S5:S28" si="5">((Q5*50*Q$54/Q$26)/Q$55)*100</f>
        <v>0</v>
      </c>
      <c r="T5" s="27">
        <v>0.91</v>
      </c>
      <c r="U5" s="21">
        <f>T5*100/(100-$T$27)</f>
        <v>0.978494623655914</v>
      </c>
      <c r="V5" s="21">
        <f t="shared" ref="V5:V26" si="6">((T5*50*T$54/T$26)/T$55)*100</f>
        <v>0</v>
      </c>
      <c r="W5" s="33">
        <v>1.3</v>
      </c>
      <c r="X5" s="22">
        <f>W5*100/(100-W$27)</f>
        <v>1.3020833333333333</v>
      </c>
      <c r="Y5" s="22">
        <f t="shared" ref="Y5:Y28" si="7">((W5*50*W$54/W$26)/W$55)*100</f>
        <v>0</v>
      </c>
      <c r="Z5" s="27">
        <v>0.64</v>
      </c>
      <c r="AA5" s="21">
        <f>Z5*100/(100-Z$27)</f>
        <v>0.69017577914375061</v>
      </c>
      <c r="AB5" s="21">
        <f t="shared" ref="AB5:AB28" si="8">((Z5*50*Z$54/Z$26)/Z$55)*100</f>
        <v>0</v>
      </c>
      <c r="AC5" s="27">
        <v>0.64</v>
      </c>
      <c r="AD5" s="21">
        <f>AC5*100/(100-AC$27)</f>
        <v>0.69196669910260578</v>
      </c>
      <c r="AE5" s="21">
        <f t="shared" ref="AE5:AE28" si="9">((AC5*50*AC$54/AC$26)/AC$55)*100</f>
        <v>0</v>
      </c>
      <c r="AF5" s="27">
        <v>0.6</v>
      </c>
      <c r="AG5" s="21">
        <f>AF5*100/(100-AF$27)</f>
        <v>0.64391500321957496</v>
      </c>
      <c r="AH5" s="21">
        <f t="shared" ref="AH5:AH28" si="10">((AF5*50*AF$54/AF$26)/AF$55)*100</f>
        <v>0</v>
      </c>
      <c r="AI5" s="27">
        <v>0.93</v>
      </c>
      <c r="AJ5" s="21">
        <f>AI5*100/(100-AI$27)</f>
        <v>0.99274124679760878</v>
      </c>
      <c r="AK5" s="21">
        <f t="shared" ref="AK5:AK28" si="11">((AI5*50*AI$54/AI$26)/AI$55)*100</f>
        <v>0</v>
      </c>
      <c r="AL5" s="35">
        <v>0.71</v>
      </c>
      <c r="AM5" s="21">
        <f>AL5*100/(100-AL$27)</f>
        <v>0.77014860613949454</v>
      </c>
      <c r="AN5" s="23">
        <f t="shared" ref="AN5:AN28" si="12">((AL5*50*AL$54/AL$26)/AL$55)*100</f>
        <v>0</v>
      </c>
      <c r="AO5" s="31">
        <v>0.25</v>
      </c>
      <c r="AP5" s="21">
        <f>AO5*100/(100-AO$27)</f>
        <v>0.27316433566433568</v>
      </c>
      <c r="AQ5" s="23">
        <f t="shared" ref="AQ5:AQ28" si="13">((AO5*50*AO$54/AO$26)/AO$55)*100</f>
        <v>0</v>
      </c>
      <c r="AR5" s="31">
        <v>0.63</v>
      </c>
      <c r="AS5" s="21">
        <f>AR5*100/(100-AR$27)</f>
        <v>0.67014147431124349</v>
      </c>
      <c r="AT5" s="23">
        <f t="shared" ref="AT5:AT28" si="14">((AR5*50*AR$54/AR$26)/AR$55)*100</f>
        <v>0</v>
      </c>
      <c r="AU5" s="5"/>
      <c r="AV5" s="5"/>
    </row>
    <row r="6" spans="1:48" ht="14.25" customHeight="1">
      <c r="A6" s="8" t="s">
        <v>4</v>
      </c>
      <c r="B6" s="27">
        <v>2.99</v>
      </c>
      <c r="C6" s="21">
        <f t="shared" ref="C6:C50" si="15">B6*100/(100-$B$27)</f>
        <v>3.1849169152109078</v>
      </c>
      <c r="D6" s="21">
        <f t="shared" si="0"/>
        <v>0</v>
      </c>
      <c r="E6" s="27">
        <v>2.79</v>
      </c>
      <c r="F6" s="21">
        <f t="shared" ref="F6:F50" si="16">E6*100/(100-$E$27)</f>
        <v>2.9817249118307152</v>
      </c>
      <c r="G6" s="21">
        <f t="shared" si="1"/>
        <v>0</v>
      </c>
      <c r="H6" s="27">
        <v>1.98</v>
      </c>
      <c r="I6" s="21">
        <f t="shared" ref="I6:I50" si="17">H6*100/(100-$H$27)</f>
        <v>2.1363832542080274</v>
      </c>
      <c r="J6" s="21">
        <f t="shared" si="2"/>
        <v>0</v>
      </c>
      <c r="K6" s="27">
        <v>1.0900000000000001</v>
      </c>
      <c r="L6" s="21">
        <f t="shared" ref="L6:L50" si="18">100*K6/(100-$K$27)</f>
        <v>1.1758360302049624</v>
      </c>
      <c r="M6" s="21">
        <f t="shared" si="3"/>
        <v>0</v>
      </c>
      <c r="N6" s="27">
        <v>3.56</v>
      </c>
      <c r="O6" s="21">
        <f t="shared" ref="O6:O50" si="19">N6*100/(100-$N$27)</f>
        <v>3.8197424892703862</v>
      </c>
      <c r="P6" s="21">
        <f t="shared" si="4"/>
        <v>0</v>
      </c>
      <c r="Q6" s="27">
        <v>2.06</v>
      </c>
      <c r="R6" s="21">
        <f t="shared" ref="R6:R50" si="20">Q6*100/(100-$Q$27)</f>
        <v>2.2076947808380667</v>
      </c>
      <c r="S6" s="21">
        <f t="shared" si="5"/>
        <v>0</v>
      </c>
      <c r="T6" s="27">
        <v>3.95</v>
      </c>
      <c r="U6" s="21">
        <f t="shared" ref="U6:U50" si="21">T6*100/(100-$T$27)</f>
        <v>4.247311827956989</v>
      </c>
      <c r="V6" s="21">
        <f t="shared" si="6"/>
        <v>0</v>
      </c>
      <c r="W6" s="33">
        <v>4.66</v>
      </c>
      <c r="X6" s="22">
        <f t="shared" ref="X6:X49" si="22">W6*100/(100-W$27)</f>
        <v>4.6674679487179489</v>
      </c>
      <c r="Y6" s="22">
        <f t="shared" si="7"/>
        <v>0</v>
      </c>
      <c r="Z6" s="27">
        <v>2.77</v>
      </c>
      <c r="AA6" s="21">
        <f t="shared" ref="AA6:AA50" si="23">Z6*100/(100-Z$27)</f>
        <v>2.9871670441065459</v>
      </c>
      <c r="AB6" s="21">
        <f t="shared" si="8"/>
        <v>0</v>
      </c>
      <c r="AC6" s="27">
        <v>2.54</v>
      </c>
      <c r="AD6" s="21">
        <f t="shared" ref="AD6:AD50" si="24">AC6*100/(100-AC$27)</f>
        <v>2.7462428370634666</v>
      </c>
      <c r="AE6" s="21">
        <f t="shared" si="9"/>
        <v>0</v>
      </c>
      <c r="AF6" s="27">
        <v>2.98</v>
      </c>
      <c r="AG6" s="21">
        <f t="shared" ref="AG6:AG50" si="25">AF6*100/(100-AF$27)</f>
        <v>3.1981111826572222</v>
      </c>
      <c r="AH6" s="21">
        <f t="shared" si="10"/>
        <v>0</v>
      </c>
      <c r="AI6" s="27">
        <v>4.1399999999999997</v>
      </c>
      <c r="AJ6" s="21">
        <f t="shared" ref="AJ6:AJ50" si="26">AI6*100/(100-AI$27)</f>
        <v>4.4192997438087094</v>
      </c>
      <c r="AK6" s="21">
        <f t="shared" si="11"/>
        <v>0</v>
      </c>
      <c r="AL6" s="35">
        <v>3.47</v>
      </c>
      <c r="AM6" s="21">
        <f t="shared" ref="AM6:AM50" si="27">AL6*100/(100-AL$27)</f>
        <v>3.7639657229634453</v>
      </c>
      <c r="AN6" s="23">
        <f t="shared" si="12"/>
        <v>0</v>
      </c>
      <c r="AO6" s="31">
        <v>1.48</v>
      </c>
      <c r="AP6" s="21">
        <f t="shared" ref="AP6:AP50" si="28">AO6*100/(100-AO$27)</f>
        <v>1.6171328671328673</v>
      </c>
      <c r="AQ6" s="23">
        <f t="shared" si="13"/>
        <v>0</v>
      </c>
      <c r="AR6" s="31">
        <v>3.78</v>
      </c>
      <c r="AS6" s="21">
        <f t="shared" ref="AS6:AS50" si="29">AR6*100/(100-AR$27)</f>
        <v>4.0208488458674605</v>
      </c>
      <c r="AT6" s="23">
        <f t="shared" si="14"/>
        <v>0</v>
      </c>
      <c r="AU6" s="5"/>
      <c r="AV6" s="5"/>
    </row>
    <row r="7" spans="1:48" ht="14.25" customHeight="1">
      <c r="A7" s="8" t="s">
        <v>5</v>
      </c>
      <c r="B7" s="27">
        <v>0.15</v>
      </c>
      <c r="C7" s="21">
        <f t="shared" si="15"/>
        <v>0.15977844056242013</v>
      </c>
      <c r="D7" s="21">
        <f t="shared" si="0"/>
        <v>0</v>
      </c>
      <c r="E7" s="27">
        <v>0.12</v>
      </c>
      <c r="F7" s="21">
        <f t="shared" si="16"/>
        <v>0.12824623276691249</v>
      </c>
      <c r="G7" s="21">
        <f t="shared" si="1"/>
        <v>0</v>
      </c>
      <c r="H7" s="27">
        <v>0.13</v>
      </c>
      <c r="I7" s="21">
        <f t="shared" si="17"/>
        <v>0.14026758739749676</v>
      </c>
      <c r="J7" s="21">
        <f t="shared" si="2"/>
        <v>0</v>
      </c>
      <c r="K7" s="27">
        <v>0</v>
      </c>
      <c r="L7" s="21">
        <f t="shared" si="18"/>
        <v>0</v>
      </c>
      <c r="M7" s="21">
        <f t="shared" si="3"/>
        <v>0</v>
      </c>
      <c r="N7" s="27">
        <v>0.15</v>
      </c>
      <c r="O7" s="21">
        <f t="shared" si="19"/>
        <v>0.1609442060085837</v>
      </c>
      <c r="P7" s="21">
        <f t="shared" si="4"/>
        <v>0</v>
      </c>
      <c r="Q7" s="27">
        <v>0.12</v>
      </c>
      <c r="R7" s="21">
        <f t="shared" si="20"/>
        <v>0.12860357946629514</v>
      </c>
      <c r="S7" s="21">
        <f t="shared" si="5"/>
        <v>0</v>
      </c>
      <c r="T7" s="27">
        <v>0.2</v>
      </c>
      <c r="U7" s="21">
        <f t="shared" si="21"/>
        <v>0.21505376344086022</v>
      </c>
      <c r="V7" s="21">
        <f t="shared" si="6"/>
        <v>0</v>
      </c>
      <c r="W7" s="33">
        <v>0.22</v>
      </c>
      <c r="X7" s="22">
        <f t="shared" si="22"/>
        <v>0.2203525641025641</v>
      </c>
      <c r="Y7" s="22">
        <f t="shared" si="7"/>
        <v>0</v>
      </c>
      <c r="Z7" s="27">
        <v>0.2</v>
      </c>
      <c r="AA7" s="21">
        <f t="shared" si="23"/>
        <v>0.21567993098242208</v>
      </c>
      <c r="AB7" s="21">
        <f t="shared" si="8"/>
        <v>0</v>
      </c>
      <c r="AC7" s="27">
        <v>0.16</v>
      </c>
      <c r="AD7" s="21">
        <f t="shared" si="24"/>
        <v>0.17299167477565144</v>
      </c>
      <c r="AE7" s="21">
        <f t="shared" si="9"/>
        <v>0</v>
      </c>
      <c r="AF7" s="27">
        <v>0.14000000000000001</v>
      </c>
      <c r="AG7" s="21">
        <f t="shared" si="25"/>
        <v>0.15024683408456752</v>
      </c>
      <c r="AH7" s="21">
        <f t="shared" si="10"/>
        <v>0</v>
      </c>
      <c r="AI7" s="27">
        <v>0.19</v>
      </c>
      <c r="AJ7" s="21">
        <f t="shared" si="26"/>
        <v>0.20281810418445773</v>
      </c>
      <c r="AK7" s="21">
        <f t="shared" si="11"/>
        <v>0</v>
      </c>
      <c r="AL7" s="35">
        <v>0.16</v>
      </c>
      <c r="AM7" s="21">
        <f t="shared" si="27"/>
        <v>0.17355461546805512</v>
      </c>
      <c r="AN7" s="23">
        <f t="shared" si="12"/>
        <v>0</v>
      </c>
      <c r="AO7" s="31">
        <v>0.2</v>
      </c>
      <c r="AP7" s="21">
        <f t="shared" si="28"/>
        <v>0.21853146853146854</v>
      </c>
      <c r="AQ7" s="23">
        <f t="shared" si="13"/>
        <v>0</v>
      </c>
      <c r="AR7" s="31">
        <v>0.18</v>
      </c>
      <c r="AS7" s="21">
        <f t="shared" si="29"/>
        <v>0.19146899266035527</v>
      </c>
      <c r="AT7" s="23">
        <f t="shared" si="14"/>
        <v>0</v>
      </c>
      <c r="AU7" s="5"/>
      <c r="AV7" s="5"/>
    </row>
    <row r="8" spans="1:48" ht="14.25" customHeight="1">
      <c r="A8" s="8" t="s">
        <v>6</v>
      </c>
      <c r="B8" s="27">
        <v>0</v>
      </c>
      <c r="C8" s="21">
        <f t="shared" si="15"/>
        <v>0</v>
      </c>
      <c r="D8" s="21">
        <f t="shared" si="0"/>
        <v>0</v>
      </c>
      <c r="E8" s="27">
        <v>0</v>
      </c>
      <c r="F8" s="21">
        <f t="shared" si="16"/>
        <v>0</v>
      </c>
      <c r="G8" s="21">
        <f t="shared" si="1"/>
        <v>0</v>
      </c>
      <c r="H8" s="27">
        <v>0</v>
      </c>
      <c r="I8" s="21">
        <f t="shared" si="17"/>
        <v>0</v>
      </c>
      <c r="J8" s="21">
        <f t="shared" si="2"/>
        <v>0</v>
      </c>
      <c r="K8" s="27">
        <v>0</v>
      </c>
      <c r="L8" s="21">
        <f t="shared" si="18"/>
        <v>0</v>
      </c>
      <c r="M8" s="21">
        <f t="shared" si="3"/>
        <v>0</v>
      </c>
      <c r="N8" s="27">
        <v>0</v>
      </c>
      <c r="O8" s="21">
        <f t="shared" si="19"/>
        <v>0</v>
      </c>
      <c r="P8" s="21">
        <f t="shared" si="4"/>
        <v>0</v>
      </c>
      <c r="Q8" s="27">
        <v>0</v>
      </c>
      <c r="R8" s="21">
        <f t="shared" si="20"/>
        <v>0</v>
      </c>
      <c r="S8" s="21">
        <f t="shared" si="5"/>
        <v>0</v>
      </c>
      <c r="T8" s="27">
        <v>0</v>
      </c>
      <c r="U8" s="21">
        <f t="shared" si="21"/>
        <v>0</v>
      </c>
      <c r="V8" s="21">
        <f t="shared" si="6"/>
        <v>0</v>
      </c>
      <c r="W8" s="33">
        <v>0.14000000000000001</v>
      </c>
      <c r="X8" s="22">
        <f t="shared" si="22"/>
        <v>0.14022435897435898</v>
      </c>
      <c r="Y8" s="22">
        <f t="shared" si="7"/>
        <v>0</v>
      </c>
      <c r="Z8" s="27">
        <v>0</v>
      </c>
      <c r="AA8" s="21">
        <f t="shared" si="23"/>
        <v>0</v>
      </c>
      <c r="AB8" s="21">
        <f t="shared" si="8"/>
        <v>0</v>
      </c>
      <c r="AC8" s="27">
        <v>0</v>
      </c>
      <c r="AD8" s="21">
        <f t="shared" si="24"/>
        <v>0</v>
      </c>
      <c r="AE8" s="21">
        <f t="shared" si="9"/>
        <v>0</v>
      </c>
      <c r="AF8" s="27"/>
      <c r="AG8" s="21">
        <f t="shared" si="25"/>
        <v>0</v>
      </c>
      <c r="AH8" s="21">
        <f t="shared" si="10"/>
        <v>0</v>
      </c>
      <c r="AI8" s="27">
        <v>0.12</v>
      </c>
      <c r="AJ8" s="21">
        <f t="shared" si="26"/>
        <v>0.12809564474807855</v>
      </c>
      <c r="AK8" s="21">
        <f t="shared" si="11"/>
        <v>0</v>
      </c>
      <c r="AL8" s="35">
        <v>0.13</v>
      </c>
      <c r="AM8" s="21">
        <f t="shared" si="27"/>
        <v>0.14101312506779479</v>
      </c>
      <c r="AN8" s="23">
        <f t="shared" si="12"/>
        <v>0</v>
      </c>
      <c r="AO8" s="31">
        <v>0</v>
      </c>
      <c r="AP8" s="21">
        <f t="shared" si="28"/>
        <v>0</v>
      </c>
      <c r="AQ8" s="23">
        <f t="shared" si="13"/>
        <v>0</v>
      </c>
      <c r="AR8" s="31">
        <v>0</v>
      </c>
      <c r="AS8" s="21">
        <f t="shared" si="29"/>
        <v>0</v>
      </c>
      <c r="AT8" s="23">
        <f t="shared" si="14"/>
        <v>0</v>
      </c>
      <c r="AU8" s="5"/>
      <c r="AV8" s="5"/>
    </row>
    <row r="9" spans="1:48" ht="14.25" customHeight="1">
      <c r="A9" s="8" t="s">
        <v>7</v>
      </c>
      <c r="B9" s="27">
        <v>4.6399999999999997</v>
      </c>
      <c r="C9" s="21">
        <f t="shared" si="15"/>
        <v>4.9424797613975286</v>
      </c>
      <c r="D9" s="21">
        <f t="shared" si="0"/>
        <v>0</v>
      </c>
      <c r="E9" s="27">
        <v>5.18</v>
      </c>
      <c r="F9" s="21">
        <f t="shared" si="16"/>
        <v>5.5359623811050556</v>
      </c>
      <c r="G9" s="21">
        <f t="shared" si="1"/>
        <v>0</v>
      </c>
      <c r="H9" s="27">
        <v>5.46</v>
      </c>
      <c r="I9" s="21">
        <f t="shared" si="17"/>
        <v>5.8912386706948636</v>
      </c>
      <c r="J9" s="21">
        <f t="shared" si="2"/>
        <v>0</v>
      </c>
      <c r="K9" s="27">
        <v>8.16</v>
      </c>
      <c r="L9" s="21">
        <f t="shared" si="18"/>
        <v>8.8025889967637543</v>
      </c>
      <c r="M9" s="21">
        <f t="shared" si="3"/>
        <v>0</v>
      </c>
      <c r="N9" s="27">
        <v>3.34</v>
      </c>
      <c r="O9" s="21">
        <f t="shared" si="19"/>
        <v>3.5836909871244633</v>
      </c>
      <c r="P9" s="21">
        <f t="shared" si="4"/>
        <v>0</v>
      </c>
      <c r="Q9" s="27">
        <v>4.96</v>
      </c>
      <c r="R9" s="21">
        <f t="shared" si="20"/>
        <v>5.3156146179401995</v>
      </c>
      <c r="S9" s="21">
        <f t="shared" si="5"/>
        <v>0</v>
      </c>
      <c r="T9" s="27">
        <v>3.05</v>
      </c>
      <c r="U9" s="21">
        <f t="shared" si="21"/>
        <v>3.2795698924731185</v>
      </c>
      <c r="V9" s="21">
        <f t="shared" si="6"/>
        <v>0</v>
      </c>
      <c r="W9" s="33">
        <v>3.29</v>
      </c>
      <c r="X9" s="22">
        <f t="shared" si="22"/>
        <v>3.2952724358974357</v>
      </c>
      <c r="Y9" s="22">
        <f t="shared" si="7"/>
        <v>0</v>
      </c>
      <c r="Z9" s="27">
        <v>5.09</v>
      </c>
      <c r="AA9" s="21">
        <f t="shared" si="23"/>
        <v>5.4890542435026415</v>
      </c>
      <c r="AB9" s="21">
        <f t="shared" si="8"/>
        <v>0</v>
      </c>
      <c r="AC9" s="27">
        <v>4.71</v>
      </c>
      <c r="AD9" s="21">
        <f t="shared" si="24"/>
        <v>5.0924424262082386</v>
      </c>
      <c r="AE9" s="21">
        <f t="shared" si="9"/>
        <v>0</v>
      </c>
      <c r="AF9" s="27">
        <v>3.15</v>
      </c>
      <c r="AG9" s="21">
        <f t="shared" si="25"/>
        <v>3.3805537669027688</v>
      </c>
      <c r="AH9" s="21">
        <f t="shared" si="10"/>
        <v>0</v>
      </c>
      <c r="AI9" s="27">
        <v>2.27</v>
      </c>
      <c r="AJ9" s="21">
        <f t="shared" si="26"/>
        <v>2.4231426131511529</v>
      </c>
      <c r="AK9" s="21">
        <f t="shared" si="11"/>
        <v>0</v>
      </c>
      <c r="AL9" s="35">
        <v>1.43</v>
      </c>
      <c r="AM9" s="21">
        <f t="shared" si="27"/>
        <v>1.5511443757457426</v>
      </c>
      <c r="AN9" s="23">
        <f t="shared" si="12"/>
        <v>0</v>
      </c>
      <c r="AO9" s="31">
        <v>5.0999999999999996</v>
      </c>
      <c r="AP9" s="21">
        <f t="shared" si="28"/>
        <v>5.5725524475524475</v>
      </c>
      <c r="AQ9" s="23">
        <f t="shared" si="13"/>
        <v>0</v>
      </c>
      <c r="AR9" s="31">
        <v>2.81</v>
      </c>
      <c r="AS9" s="21">
        <f t="shared" si="29"/>
        <v>2.9890437187533241</v>
      </c>
      <c r="AT9" s="23">
        <f t="shared" si="14"/>
        <v>0</v>
      </c>
      <c r="AU9" s="5"/>
      <c r="AV9" s="5"/>
    </row>
    <row r="10" spans="1:48" ht="14.25" customHeight="1">
      <c r="A10" s="8" t="s">
        <v>8</v>
      </c>
      <c r="B10" s="27">
        <v>18.45</v>
      </c>
      <c r="C10" s="21">
        <f t="shared" si="15"/>
        <v>19.652748189177675</v>
      </c>
      <c r="D10" s="21">
        <f t="shared" si="0"/>
        <v>0</v>
      </c>
      <c r="E10" s="27">
        <v>16.579999999999998</v>
      </c>
      <c r="F10" s="21">
        <f t="shared" si="16"/>
        <v>17.719354493961738</v>
      </c>
      <c r="G10" s="21">
        <f t="shared" si="1"/>
        <v>0</v>
      </c>
      <c r="H10" s="27">
        <v>14.21</v>
      </c>
      <c r="I10" s="21">
        <f t="shared" si="17"/>
        <v>15.332326283987914</v>
      </c>
      <c r="J10" s="21">
        <f t="shared" si="2"/>
        <v>0</v>
      </c>
      <c r="K10" s="27">
        <v>13.07</v>
      </c>
      <c r="L10" s="21">
        <f t="shared" si="18"/>
        <v>14.099244875943905</v>
      </c>
      <c r="M10" s="21">
        <f t="shared" si="3"/>
        <v>0</v>
      </c>
      <c r="N10" s="27">
        <v>18.22</v>
      </c>
      <c r="O10" s="21">
        <f t="shared" si="19"/>
        <v>19.549356223175966</v>
      </c>
      <c r="P10" s="21">
        <f t="shared" si="4"/>
        <v>0</v>
      </c>
      <c r="Q10" s="27">
        <v>16.309999999999999</v>
      </c>
      <c r="R10" s="21">
        <f t="shared" si="20"/>
        <v>17.479369842460613</v>
      </c>
      <c r="S10" s="21">
        <f t="shared" si="5"/>
        <v>0</v>
      </c>
      <c r="T10" s="27">
        <v>19.22</v>
      </c>
      <c r="U10" s="21">
        <f t="shared" si="21"/>
        <v>20.666666666666668</v>
      </c>
      <c r="V10" s="21">
        <f t="shared" si="6"/>
        <v>0</v>
      </c>
      <c r="W10" s="33">
        <v>21.8</v>
      </c>
      <c r="X10" s="22">
        <f t="shared" si="22"/>
        <v>21.834935897435898</v>
      </c>
      <c r="Y10" s="22">
        <f t="shared" si="7"/>
        <v>0</v>
      </c>
      <c r="Z10" s="27">
        <v>16.440000000000001</v>
      </c>
      <c r="AA10" s="21">
        <f t="shared" si="23"/>
        <v>17.728890326755096</v>
      </c>
      <c r="AB10" s="21">
        <f t="shared" si="8"/>
        <v>0</v>
      </c>
      <c r="AC10" s="27">
        <v>16.36</v>
      </c>
      <c r="AD10" s="21">
        <f t="shared" si="24"/>
        <v>17.68839874581036</v>
      </c>
      <c r="AE10" s="21">
        <f t="shared" si="9"/>
        <v>0</v>
      </c>
      <c r="AF10" s="27">
        <v>18.16</v>
      </c>
      <c r="AG10" s="21">
        <f t="shared" si="25"/>
        <v>19.489160764112469</v>
      </c>
      <c r="AH10" s="21">
        <f t="shared" si="10"/>
        <v>0</v>
      </c>
      <c r="AI10" s="27">
        <v>20.23</v>
      </c>
      <c r="AJ10" s="21">
        <f t="shared" si="26"/>
        <v>21.594790777113577</v>
      </c>
      <c r="AK10" s="21">
        <f t="shared" si="11"/>
        <v>0</v>
      </c>
      <c r="AL10" s="35">
        <v>19.62</v>
      </c>
      <c r="AM10" s="21">
        <f t="shared" si="27"/>
        <v>21.282134721770259</v>
      </c>
      <c r="AN10" s="23">
        <f t="shared" si="12"/>
        <v>0</v>
      </c>
      <c r="AO10" s="31">
        <v>15.24</v>
      </c>
      <c r="AP10" s="21">
        <f t="shared" si="28"/>
        <v>16.652097902097903</v>
      </c>
      <c r="AQ10" s="23">
        <f t="shared" si="13"/>
        <v>0</v>
      </c>
      <c r="AR10" s="31">
        <v>18.45</v>
      </c>
      <c r="AS10" s="21">
        <f t="shared" si="29"/>
        <v>19.625571747686415</v>
      </c>
      <c r="AT10" s="23">
        <f t="shared" si="14"/>
        <v>0</v>
      </c>
      <c r="AU10" s="5"/>
      <c r="AV10" s="5"/>
    </row>
    <row r="11" spans="1:48" ht="14.25" customHeight="1">
      <c r="A11" s="8" t="s">
        <v>9</v>
      </c>
      <c r="B11" s="27">
        <v>0.49</v>
      </c>
      <c r="C11" s="21">
        <f t="shared" si="15"/>
        <v>0.52194290583723901</v>
      </c>
      <c r="D11" s="21">
        <f t="shared" si="0"/>
        <v>0</v>
      </c>
      <c r="E11" s="27">
        <v>0.55000000000000004</v>
      </c>
      <c r="F11" s="21">
        <f t="shared" si="16"/>
        <v>0.58779523351501561</v>
      </c>
      <c r="G11" s="21">
        <f t="shared" si="1"/>
        <v>0</v>
      </c>
      <c r="H11" s="27">
        <v>0.41</v>
      </c>
      <c r="I11" s="21">
        <f t="shared" si="17"/>
        <v>0.44238239102287436</v>
      </c>
      <c r="J11" s="21">
        <f t="shared" si="2"/>
        <v>0</v>
      </c>
      <c r="K11" s="27">
        <v>0.36</v>
      </c>
      <c r="L11" s="21">
        <f t="shared" si="18"/>
        <v>0.38834951456310679</v>
      </c>
      <c r="M11" s="21">
        <f t="shared" si="3"/>
        <v>0</v>
      </c>
      <c r="N11" s="27">
        <v>0.56000000000000005</v>
      </c>
      <c r="O11" s="21">
        <f t="shared" si="19"/>
        <v>0.60085836909871249</v>
      </c>
      <c r="P11" s="21">
        <f t="shared" si="4"/>
        <v>0</v>
      </c>
      <c r="Q11" s="27">
        <v>0.47</v>
      </c>
      <c r="R11" s="21">
        <f t="shared" si="20"/>
        <v>0.503697352909656</v>
      </c>
      <c r="S11" s="21">
        <f t="shared" si="5"/>
        <v>0</v>
      </c>
      <c r="T11" s="27">
        <v>0.56000000000000005</v>
      </c>
      <c r="U11" s="21">
        <f t="shared" si="21"/>
        <v>0.60215053763440873</v>
      </c>
      <c r="V11" s="21">
        <f t="shared" si="6"/>
        <v>0</v>
      </c>
      <c r="W11" s="33">
        <v>0.63</v>
      </c>
      <c r="X11" s="22">
        <f t="shared" si="22"/>
        <v>0.63100961538461531</v>
      </c>
      <c r="Y11" s="22">
        <f t="shared" si="7"/>
        <v>0</v>
      </c>
      <c r="Z11" s="27">
        <v>0.55000000000000004</v>
      </c>
      <c r="AA11" s="21">
        <f t="shared" si="23"/>
        <v>0.59311981020166082</v>
      </c>
      <c r="AB11" s="21">
        <f t="shared" si="8"/>
        <v>0</v>
      </c>
      <c r="AC11" s="27">
        <v>0.51</v>
      </c>
      <c r="AD11" s="21">
        <f t="shared" si="24"/>
        <v>0.55141096334738893</v>
      </c>
      <c r="AE11" s="21">
        <f t="shared" si="9"/>
        <v>0</v>
      </c>
      <c r="AF11" s="27">
        <v>0.49</v>
      </c>
      <c r="AG11" s="21">
        <f t="shared" si="25"/>
        <v>0.52586391929598619</v>
      </c>
      <c r="AH11" s="21">
        <f t="shared" si="10"/>
        <v>0</v>
      </c>
      <c r="AI11" s="27">
        <v>0.63</v>
      </c>
      <c r="AJ11" s="21">
        <f t="shared" si="26"/>
        <v>0.6725021349274124</v>
      </c>
      <c r="AK11" s="21">
        <f t="shared" si="11"/>
        <v>0</v>
      </c>
      <c r="AL11" s="35">
        <v>0.56999999999999995</v>
      </c>
      <c r="AM11" s="21">
        <f t="shared" si="27"/>
        <v>0.61828831760494629</v>
      </c>
      <c r="AN11" s="23">
        <f t="shared" si="12"/>
        <v>0</v>
      </c>
      <c r="AO11" s="31">
        <v>0.42</v>
      </c>
      <c r="AP11" s="21">
        <f t="shared" si="28"/>
        <v>0.45891608391608396</v>
      </c>
      <c r="AQ11" s="23">
        <f t="shared" si="13"/>
        <v>0</v>
      </c>
      <c r="AR11" s="31">
        <v>0.74</v>
      </c>
      <c r="AS11" s="21">
        <f t="shared" si="29"/>
        <v>0.78715030315923828</v>
      </c>
      <c r="AT11" s="23">
        <f t="shared" si="14"/>
        <v>0</v>
      </c>
      <c r="AU11" s="5"/>
      <c r="AV11" s="5"/>
    </row>
    <row r="12" spans="1:48" ht="14.25" customHeight="1">
      <c r="A12" s="8" t="s">
        <v>10</v>
      </c>
      <c r="B12" s="27">
        <v>1.78</v>
      </c>
      <c r="C12" s="21">
        <f t="shared" si="15"/>
        <v>1.8960374946740521</v>
      </c>
      <c r="D12" s="21">
        <f t="shared" si="0"/>
        <v>0</v>
      </c>
      <c r="E12" s="27">
        <v>1.52</v>
      </c>
      <c r="F12" s="21">
        <f t="shared" si="16"/>
        <v>1.6244522817142248</v>
      </c>
      <c r="G12" s="21">
        <f t="shared" si="1"/>
        <v>0</v>
      </c>
      <c r="H12" s="27">
        <v>1.38</v>
      </c>
      <c r="I12" s="21">
        <f t="shared" si="17"/>
        <v>1.4889943892965041</v>
      </c>
      <c r="J12" s="21">
        <f t="shared" si="2"/>
        <v>0</v>
      </c>
      <c r="K12" s="27">
        <v>0.51</v>
      </c>
      <c r="L12" s="21">
        <f t="shared" si="18"/>
        <v>0.55016181229773464</v>
      </c>
      <c r="M12" s="21">
        <f t="shared" si="3"/>
        <v>0</v>
      </c>
      <c r="N12" s="27">
        <v>1.76</v>
      </c>
      <c r="O12" s="21">
        <f t="shared" si="19"/>
        <v>1.8884120171673819</v>
      </c>
      <c r="P12" s="21">
        <f t="shared" si="4"/>
        <v>0</v>
      </c>
      <c r="Q12" s="27">
        <v>1.49</v>
      </c>
      <c r="R12" s="21">
        <f t="shared" si="20"/>
        <v>1.5968277783731646</v>
      </c>
      <c r="S12" s="21">
        <f t="shared" si="5"/>
        <v>0</v>
      </c>
      <c r="T12" s="27">
        <v>2.08</v>
      </c>
      <c r="U12" s="21">
        <f t="shared" si="21"/>
        <v>2.236559139784946</v>
      </c>
      <c r="V12" s="21">
        <f t="shared" si="6"/>
        <v>0</v>
      </c>
      <c r="W12" s="33">
        <v>2.19</v>
      </c>
      <c r="X12" s="22">
        <f t="shared" si="22"/>
        <v>2.1935096153846154</v>
      </c>
      <c r="Y12" s="22">
        <f t="shared" si="7"/>
        <v>0</v>
      </c>
      <c r="Z12" s="27">
        <v>2.1</v>
      </c>
      <c r="AA12" s="21">
        <f t="shared" si="23"/>
        <v>2.2646392753154316</v>
      </c>
      <c r="AB12" s="21">
        <f t="shared" si="8"/>
        <v>0</v>
      </c>
      <c r="AC12" s="27">
        <v>1.28</v>
      </c>
      <c r="AD12" s="21">
        <f t="shared" si="24"/>
        <v>1.3839333982052116</v>
      </c>
      <c r="AE12" s="21">
        <f t="shared" si="9"/>
        <v>0</v>
      </c>
      <c r="AF12" s="27">
        <v>1.53</v>
      </c>
      <c r="AG12" s="21">
        <f t="shared" si="25"/>
        <v>1.6419832582099161</v>
      </c>
      <c r="AH12" s="21">
        <f t="shared" si="10"/>
        <v>0</v>
      </c>
      <c r="AI12" s="27">
        <v>2.09</v>
      </c>
      <c r="AJ12" s="21">
        <f t="shared" si="26"/>
        <v>2.2309991460290348</v>
      </c>
      <c r="AK12" s="21">
        <f t="shared" si="11"/>
        <v>0</v>
      </c>
      <c r="AL12" s="35">
        <v>1.75</v>
      </c>
      <c r="AM12" s="21">
        <f t="shared" si="27"/>
        <v>1.8982536066818527</v>
      </c>
      <c r="AN12" s="23">
        <f t="shared" si="12"/>
        <v>0</v>
      </c>
      <c r="AO12" s="31">
        <v>0.79</v>
      </c>
      <c r="AP12" s="21">
        <f t="shared" si="28"/>
        <v>0.86319930069930073</v>
      </c>
      <c r="AQ12" s="23">
        <f t="shared" si="13"/>
        <v>0</v>
      </c>
      <c r="AR12" s="31">
        <v>2.0299999999999998</v>
      </c>
      <c r="AS12" s="21">
        <f t="shared" si="29"/>
        <v>2.1593447505584509</v>
      </c>
      <c r="AT12" s="23">
        <f t="shared" si="14"/>
        <v>0</v>
      </c>
      <c r="AU12" s="5"/>
      <c r="AV12" s="5"/>
    </row>
    <row r="13" spans="1:48" ht="14.25" customHeight="1">
      <c r="A13" s="8" t="s">
        <v>11</v>
      </c>
      <c r="B13" s="27">
        <v>0</v>
      </c>
      <c r="C13" s="21">
        <f t="shared" si="15"/>
        <v>0</v>
      </c>
      <c r="D13" s="21">
        <f t="shared" si="0"/>
        <v>0</v>
      </c>
      <c r="E13" s="27">
        <v>0.17</v>
      </c>
      <c r="F13" s="21">
        <f t="shared" si="16"/>
        <v>0.18168216308645935</v>
      </c>
      <c r="G13" s="21">
        <f t="shared" si="1"/>
        <v>0</v>
      </c>
      <c r="H13" s="27">
        <v>0</v>
      </c>
      <c r="I13" s="21">
        <f t="shared" si="17"/>
        <v>0</v>
      </c>
      <c r="J13" s="21">
        <f t="shared" si="2"/>
        <v>0</v>
      </c>
      <c r="K13" s="27">
        <v>0</v>
      </c>
      <c r="L13" s="21">
        <f t="shared" si="18"/>
        <v>0</v>
      </c>
      <c r="M13" s="21">
        <f t="shared" si="3"/>
        <v>0</v>
      </c>
      <c r="N13" s="27">
        <v>0</v>
      </c>
      <c r="O13" s="21">
        <f t="shared" si="19"/>
        <v>0</v>
      </c>
      <c r="P13" s="21">
        <f t="shared" si="4"/>
        <v>0</v>
      </c>
      <c r="Q13" s="27">
        <v>0</v>
      </c>
      <c r="R13" s="21">
        <f t="shared" si="20"/>
        <v>0</v>
      </c>
      <c r="S13" s="21">
        <f t="shared" si="5"/>
        <v>0</v>
      </c>
      <c r="T13" s="27">
        <v>0.18</v>
      </c>
      <c r="U13" s="21">
        <f t="shared" si="21"/>
        <v>0.19354838709677419</v>
      </c>
      <c r="V13" s="21">
        <f t="shared" si="6"/>
        <v>0</v>
      </c>
      <c r="W13" s="33">
        <v>0</v>
      </c>
      <c r="X13" s="22">
        <f t="shared" si="22"/>
        <v>0</v>
      </c>
      <c r="Y13" s="22">
        <f t="shared" si="7"/>
        <v>0</v>
      </c>
      <c r="Z13" s="27">
        <v>0</v>
      </c>
      <c r="AA13" s="21">
        <f t="shared" si="23"/>
        <v>0</v>
      </c>
      <c r="AB13" s="21">
        <f t="shared" si="8"/>
        <v>0</v>
      </c>
      <c r="AC13" s="27">
        <v>0</v>
      </c>
      <c r="AD13" s="21">
        <f t="shared" si="24"/>
        <v>0</v>
      </c>
      <c r="AE13" s="21">
        <f t="shared" si="9"/>
        <v>0</v>
      </c>
      <c r="AF13" s="27">
        <v>0</v>
      </c>
      <c r="AG13" s="21">
        <f t="shared" si="25"/>
        <v>0</v>
      </c>
      <c r="AH13" s="21">
        <f t="shared" si="10"/>
        <v>0</v>
      </c>
      <c r="AI13" s="27">
        <v>0</v>
      </c>
      <c r="AJ13" s="21">
        <f t="shared" si="26"/>
        <v>0</v>
      </c>
      <c r="AK13" s="21">
        <f t="shared" si="11"/>
        <v>0</v>
      </c>
      <c r="AL13" s="35">
        <v>0</v>
      </c>
      <c r="AM13" s="21">
        <f t="shared" si="27"/>
        <v>0</v>
      </c>
      <c r="AN13" s="23">
        <f t="shared" si="12"/>
        <v>0</v>
      </c>
      <c r="AO13" s="31">
        <v>0</v>
      </c>
      <c r="AP13" s="21">
        <f t="shared" si="28"/>
        <v>0</v>
      </c>
      <c r="AQ13" s="23">
        <f t="shared" si="13"/>
        <v>0</v>
      </c>
      <c r="AR13" s="31">
        <v>0.21</v>
      </c>
      <c r="AS13" s="21">
        <f t="shared" si="29"/>
        <v>0.22338049143708114</v>
      </c>
      <c r="AT13" s="23">
        <f t="shared" si="14"/>
        <v>0</v>
      </c>
      <c r="AU13" s="5"/>
      <c r="AV13" s="5"/>
    </row>
    <row r="14" spans="1:48" ht="14.25" customHeight="1">
      <c r="A14" s="8" t="s">
        <v>12</v>
      </c>
      <c r="B14" s="27">
        <v>0.2</v>
      </c>
      <c r="C14" s="21">
        <f t="shared" si="15"/>
        <v>0.2130379207498935</v>
      </c>
      <c r="D14" s="21">
        <f t="shared" si="0"/>
        <v>0</v>
      </c>
      <c r="E14" s="27">
        <v>0.21</v>
      </c>
      <c r="F14" s="21">
        <f t="shared" si="16"/>
        <v>0.22443090734209684</v>
      </c>
      <c r="G14" s="21">
        <f t="shared" si="1"/>
        <v>0</v>
      </c>
      <c r="H14" s="27">
        <v>0.18</v>
      </c>
      <c r="I14" s="21">
        <f t="shared" si="17"/>
        <v>0.19421665947345704</v>
      </c>
      <c r="J14" s="21">
        <f t="shared" si="2"/>
        <v>0</v>
      </c>
      <c r="K14" s="27">
        <v>0.28000000000000003</v>
      </c>
      <c r="L14" s="21">
        <f t="shared" si="18"/>
        <v>0.30204962243797195</v>
      </c>
      <c r="M14" s="21">
        <f t="shared" si="3"/>
        <v>0</v>
      </c>
      <c r="N14" s="27">
        <v>0.21</v>
      </c>
      <c r="O14" s="21">
        <f t="shared" si="19"/>
        <v>0.22532188841201717</v>
      </c>
      <c r="P14" s="21">
        <f t="shared" si="4"/>
        <v>0</v>
      </c>
      <c r="Q14" s="27">
        <v>0.18</v>
      </c>
      <c r="R14" s="21">
        <f t="shared" si="20"/>
        <v>0.19290536919944271</v>
      </c>
      <c r="S14" s="21">
        <f t="shared" si="5"/>
        <v>0</v>
      </c>
      <c r="T14" s="27">
        <v>0.21</v>
      </c>
      <c r="U14" s="21">
        <f t="shared" si="21"/>
        <v>0.22580645161290322</v>
      </c>
      <c r="V14" s="21">
        <f t="shared" si="6"/>
        <v>0</v>
      </c>
      <c r="W14" s="33">
        <v>0.25</v>
      </c>
      <c r="X14" s="22">
        <f t="shared" si="22"/>
        <v>0.25040064102564102</v>
      </c>
      <c r="Y14" s="22">
        <f t="shared" si="7"/>
        <v>0</v>
      </c>
      <c r="Z14" s="27">
        <v>0.18</v>
      </c>
      <c r="AA14" s="21">
        <f t="shared" si="23"/>
        <v>0.19411193788417988</v>
      </c>
      <c r="AB14" s="21">
        <f t="shared" si="8"/>
        <v>0</v>
      </c>
      <c r="AC14" s="27">
        <v>0.26</v>
      </c>
      <c r="AD14" s="21">
        <f t="shared" si="24"/>
        <v>0.28111147151043359</v>
      </c>
      <c r="AE14" s="21">
        <f t="shared" si="9"/>
        <v>0</v>
      </c>
      <c r="AF14" s="27">
        <v>0.24</v>
      </c>
      <c r="AG14" s="21">
        <f t="shared" si="25"/>
        <v>0.25756600128782997</v>
      </c>
      <c r="AH14" s="21">
        <f t="shared" si="10"/>
        <v>0</v>
      </c>
      <c r="AI14" s="27">
        <v>0.24</v>
      </c>
      <c r="AJ14" s="21">
        <f t="shared" si="26"/>
        <v>0.2561912894961571</v>
      </c>
      <c r="AK14" s="21">
        <f t="shared" si="11"/>
        <v>0</v>
      </c>
      <c r="AL14" s="35">
        <v>0.23</v>
      </c>
      <c r="AM14" s="21">
        <f t="shared" si="27"/>
        <v>0.24948475973532921</v>
      </c>
      <c r="AN14" s="23">
        <f t="shared" si="12"/>
        <v>0</v>
      </c>
      <c r="AO14" s="31">
        <v>0.22</v>
      </c>
      <c r="AP14" s="21">
        <f t="shared" si="28"/>
        <v>0.24038461538461539</v>
      </c>
      <c r="AQ14" s="23">
        <f t="shared" si="13"/>
        <v>0</v>
      </c>
      <c r="AR14" s="31">
        <v>0.21</v>
      </c>
      <c r="AS14" s="21">
        <f t="shared" si="29"/>
        <v>0.22338049143708114</v>
      </c>
      <c r="AT14" s="23">
        <f t="shared" si="14"/>
        <v>0</v>
      </c>
      <c r="AU14" s="5"/>
      <c r="AV14" s="5"/>
    </row>
    <row r="15" spans="1:48" ht="14.25" customHeight="1">
      <c r="A15" s="8" t="s">
        <v>13</v>
      </c>
      <c r="B15" s="27">
        <v>0.16</v>
      </c>
      <c r="C15" s="21">
        <f t="shared" si="15"/>
        <v>0.1704303365999148</v>
      </c>
      <c r="D15" s="21">
        <f t="shared" si="0"/>
        <v>0</v>
      </c>
      <c r="E15" s="27">
        <v>0.15</v>
      </c>
      <c r="F15" s="21">
        <f t="shared" si="16"/>
        <v>0.16030779095864059</v>
      </c>
      <c r="G15" s="21">
        <f t="shared" si="1"/>
        <v>0</v>
      </c>
      <c r="H15" s="27">
        <v>0.16</v>
      </c>
      <c r="I15" s="21">
        <f t="shared" si="17"/>
        <v>0.17263703064307293</v>
      </c>
      <c r="J15" s="21">
        <f t="shared" si="2"/>
        <v>0</v>
      </c>
      <c r="K15" s="27">
        <v>0.18</v>
      </c>
      <c r="L15" s="21">
        <f t="shared" si="18"/>
        <v>0.1941747572815534</v>
      </c>
      <c r="M15" s="21">
        <f t="shared" si="3"/>
        <v>0</v>
      </c>
      <c r="N15" s="27">
        <v>0.17</v>
      </c>
      <c r="O15" s="21">
        <f t="shared" si="19"/>
        <v>0.18240343347639484</v>
      </c>
      <c r="P15" s="21">
        <f t="shared" si="4"/>
        <v>0</v>
      </c>
      <c r="Q15" s="27">
        <v>0.1</v>
      </c>
      <c r="R15" s="21">
        <f t="shared" si="20"/>
        <v>0.10716964955524595</v>
      </c>
      <c r="S15" s="21">
        <f t="shared" si="5"/>
        <v>0</v>
      </c>
      <c r="T15" s="27">
        <v>0.19</v>
      </c>
      <c r="U15" s="21">
        <f t="shared" si="21"/>
        <v>0.20430107526881722</v>
      </c>
      <c r="V15" s="21">
        <f t="shared" si="6"/>
        <v>0</v>
      </c>
      <c r="W15" s="33">
        <v>0.22</v>
      </c>
      <c r="X15" s="22">
        <f t="shared" si="22"/>
        <v>0.2203525641025641</v>
      </c>
      <c r="Y15" s="22">
        <f t="shared" si="7"/>
        <v>0</v>
      </c>
      <c r="Z15" s="27">
        <v>0.19</v>
      </c>
      <c r="AA15" s="21">
        <f t="shared" si="23"/>
        <v>0.20489593443330098</v>
      </c>
      <c r="AB15" s="21">
        <f t="shared" si="8"/>
        <v>0</v>
      </c>
      <c r="AC15" s="27">
        <v>0.18</v>
      </c>
      <c r="AD15" s="21">
        <f t="shared" si="24"/>
        <v>0.19461563412260785</v>
      </c>
      <c r="AE15" s="21">
        <f t="shared" si="9"/>
        <v>0</v>
      </c>
      <c r="AF15" s="27">
        <v>0.17</v>
      </c>
      <c r="AG15" s="21">
        <f t="shared" si="25"/>
        <v>0.18244258424554624</v>
      </c>
      <c r="AH15" s="21">
        <f t="shared" si="10"/>
        <v>0</v>
      </c>
      <c r="AI15" s="27">
        <v>0.14000000000000001</v>
      </c>
      <c r="AJ15" s="21">
        <f t="shared" si="26"/>
        <v>0.14944491887275835</v>
      </c>
      <c r="AK15" s="21">
        <f t="shared" si="11"/>
        <v>0</v>
      </c>
      <c r="AL15" s="35">
        <v>0.16</v>
      </c>
      <c r="AM15" s="21">
        <f t="shared" si="27"/>
        <v>0.17355461546805512</v>
      </c>
      <c r="AN15" s="23">
        <f t="shared" si="12"/>
        <v>0</v>
      </c>
      <c r="AO15" s="31">
        <v>0</v>
      </c>
      <c r="AP15" s="21">
        <f t="shared" si="28"/>
        <v>0</v>
      </c>
      <c r="AQ15" s="23">
        <f t="shared" si="13"/>
        <v>0</v>
      </c>
      <c r="AR15" s="31">
        <v>0.18</v>
      </c>
      <c r="AS15" s="21">
        <f t="shared" si="29"/>
        <v>0.19146899266035527</v>
      </c>
      <c r="AT15" s="23">
        <f t="shared" si="14"/>
        <v>0</v>
      </c>
      <c r="AU15" s="5"/>
      <c r="AV15" s="5"/>
    </row>
    <row r="16" spans="1:48" ht="14.25" customHeight="1">
      <c r="A16" s="8" t="s">
        <v>14</v>
      </c>
      <c r="B16" s="27">
        <v>0</v>
      </c>
      <c r="C16" s="21">
        <f t="shared" si="15"/>
        <v>0</v>
      </c>
      <c r="D16" s="21">
        <f t="shared" si="0"/>
        <v>0</v>
      </c>
      <c r="E16" s="27">
        <v>0</v>
      </c>
      <c r="F16" s="21">
        <f t="shared" si="16"/>
        <v>0</v>
      </c>
      <c r="G16" s="21">
        <f t="shared" si="1"/>
        <v>0</v>
      </c>
      <c r="H16" s="27">
        <v>0</v>
      </c>
      <c r="I16" s="21">
        <f t="shared" si="17"/>
        <v>0</v>
      </c>
      <c r="J16" s="21">
        <f t="shared" si="2"/>
        <v>0</v>
      </c>
      <c r="K16" s="27">
        <v>0</v>
      </c>
      <c r="L16" s="21">
        <f t="shared" si="18"/>
        <v>0</v>
      </c>
      <c r="M16" s="21">
        <f t="shared" si="3"/>
        <v>0</v>
      </c>
      <c r="N16" s="27">
        <v>0</v>
      </c>
      <c r="O16" s="21">
        <f t="shared" si="19"/>
        <v>0</v>
      </c>
      <c r="P16" s="21">
        <f t="shared" si="4"/>
        <v>0</v>
      </c>
      <c r="Q16" s="27">
        <v>0</v>
      </c>
      <c r="R16" s="21">
        <f t="shared" si="20"/>
        <v>0</v>
      </c>
      <c r="S16" s="21">
        <f t="shared" si="5"/>
        <v>0</v>
      </c>
      <c r="T16" s="27">
        <v>0</v>
      </c>
      <c r="U16" s="21">
        <f t="shared" si="21"/>
        <v>0</v>
      </c>
      <c r="V16" s="21">
        <f t="shared" si="6"/>
        <v>0</v>
      </c>
      <c r="W16" s="33">
        <v>0</v>
      </c>
      <c r="X16" s="22">
        <f t="shared" si="22"/>
        <v>0</v>
      </c>
      <c r="Y16" s="22">
        <f t="shared" si="7"/>
        <v>0</v>
      </c>
      <c r="Z16" s="27">
        <v>0</v>
      </c>
      <c r="AA16" s="21">
        <f t="shared" si="23"/>
        <v>0</v>
      </c>
      <c r="AB16" s="21">
        <f t="shared" si="8"/>
        <v>0</v>
      </c>
      <c r="AC16" s="27">
        <v>0</v>
      </c>
      <c r="AD16" s="21">
        <f t="shared" si="24"/>
        <v>0</v>
      </c>
      <c r="AE16" s="21">
        <f t="shared" si="9"/>
        <v>0</v>
      </c>
      <c r="AF16" s="27">
        <v>0</v>
      </c>
      <c r="AG16" s="21">
        <f t="shared" si="25"/>
        <v>0</v>
      </c>
      <c r="AH16" s="21">
        <f t="shared" si="10"/>
        <v>0</v>
      </c>
      <c r="AI16" s="27">
        <v>0</v>
      </c>
      <c r="AJ16" s="21">
        <f t="shared" si="26"/>
        <v>0</v>
      </c>
      <c r="AK16" s="21">
        <f t="shared" si="11"/>
        <v>0</v>
      </c>
      <c r="AL16" s="35">
        <v>0</v>
      </c>
      <c r="AM16" s="21">
        <f t="shared" si="27"/>
        <v>0</v>
      </c>
      <c r="AN16" s="23">
        <f t="shared" si="12"/>
        <v>0</v>
      </c>
      <c r="AO16" s="31">
        <v>0</v>
      </c>
      <c r="AP16" s="21">
        <f t="shared" si="28"/>
        <v>0</v>
      </c>
      <c r="AQ16" s="23">
        <f t="shared" si="13"/>
        <v>0</v>
      </c>
      <c r="AR16" s="31">
        <v>0</v>
      </c>
      <c r="AS16" s="21">
        <f t="shared" si="29"/>
        <v>0</v>
      </c>
      <c r="AT16" s="23">
        <f t="shared" si="14"/>
        <v>0</v>
      </c>
      <c r="AU16" s="5"/>
      <c r="AV16" s="5"/>
    </row>
    <row r="17" spans="1:48" ht="14.25" customHeight="1">
      <c r="A17" s="8" t="s">
        <v>15</v>
      </c>
      <c r="B17" s="27">
        <v>0.94</v>
      </c>
      <c r="C17" s="21">
        <f t="shared" si="15"/>
        <v>1.0012782275244994</v>
      </c>
      <c r="D17" s="21">
        <f t="shared" si="0"/>
        <v>0</v>
      </c>
      <c r="E17" s="27">
        <v>0.88</v>
      </c>
      <c r="F17" s="21">
        <f t="shared" si="16"/>
        <v>0.94047237362402492</v>
      </c>
      <c r="G17" s="21">
        <f t="shared" si="1"/>
        <v>0</v>
      </c>
      <c r="H17" s="27">
        <v>0.94</v>
      </c>
      <c r="I17" s="21">
        <f t="shared" si="17"/>
        <v>1.0142425550280534</v>
      </c>
      <c r="J17" s="21">
        <f t="shared" si="2"/>
        <v>0</v>
      </c>
      <c r="K17" s="27">
        <v>1.9</v>
      </c>
      <c r="L17" s="21">
        <f t="shared" si="18"/>
        <v>2.0496224379719523</v>
      </c>
      <c r="M17" s="21">
        <f t="shared" si="3"/>
        <v>0</v>
      </c>
      <c r="N17" s="27">
        <v>0.68</v>
      </c>
      <c r="O17" s="21">
        <f t="shared" si="19"/>
        <v>0.72961373390557938</v>
      </c>
      <c r="P17" s="21">
        <f t="shared" si="4"/>
        <v>0</v>
      </c>
      <c r="Q17" s="27">
        <v>0.97</v>
      </c>
      <c r="R17" s="21">
        <f t="shared" si="20"/>
        <v>1.0395456006858856</v>
      </c>
      <c r="S17" s="21">
        <f t="shared" si="5"/>
        <v>0</v>
      </c>
      <c r="T17" s="27">
        <v>0.6</v>
      </c>
      <c r="U17" s="21">
        <f t="shared" si="21"/>
        <v>0.64516129032258063</v>
      </c>
      <c r="V17" s="21">
        <f t="shared" si="6"/>
        <v>0</v>
      </c>
      <c r="W17" s="33">
        <v>0.61</v>
      </c>
      <c r="X17" s="22">
        <f t="shared" si="22"/>
        <v>0.6109775641025641</v>
      </c>
      <c r="Y17" s="22">
        <f t="shared" si="7"/>
        <v>0</v>
      </c>
      <c r="Z17" s="27">
        <v>0.83</v>
      </c>
      <c r="AA17" s="21">
        <f t="shared" si="23"/>
        <v>0.89507171357705162</v>
      </c>
      <c r="AB17" s="21">
        <f t="shared" si="8"/>
        <v>0</v>
      </c>
      <c r="AC17" s="27">
        <v>0.82</v>
      </c>
      <c r="AD17" s="21">
        <f t="shared" si="24"/>
        <v>0.88658233322521363</v>
      </c>
      <c r="AE17" s="21">
        <f t="shared" si="9"/>
        <v>0</v>
      </c>
      <c r="AF17" s="27">
        <v>0.73</v>
      </c>
      <c r="AG17" s="21">
        <f t="shared" si="25"/>
        <v>0.78342992058381622</v>
      </c>
      <c r="AH17" s="21">
        <f t="shared" si="10"/>
        <v>0</v>
      </c>
      <c r="AI17" s="27">
        <v>0.48</v>
      </c>
      <c r="AJ17" s="21">
        <f t="shared" si="26"/>
        <v>0.51238257899231421</v>
      </c>
      <c r="AK17" s="21">
        <f t="shared" si="11"/>
        <v>0</v>
      </c>
      <c r="AL17" s="35">
        <v>0.28000000000000003</v>
      </c>
      <c r="AM17" s="21">
        <f t="shared" si="27"/>
        <v>0.3037205770690965</v>
      </c>
      <c r="AN17" s="23">
        <f t="shared" si="12"/>
        <v>0</v>
      </c>
      <c r="AO17" s="31">
        <v>1.0900000000000001</v>
      </c>
      <c r="AP17" s="21">
        <f t="shared" si="28"/>
        <v>1.1909965034965038</v>
      </c>
      <c r="AQ17" s="23">
        <f t="shared" si="13"/>
        <v>0</v>
      </c>
      <c r="AR17" s="31">
        <v>0.52</v>
      </c>
      <c r="AS17" s="21">
        <f t="shared" si="29"/>
        <v>0.55313264546324858</v>
      </c>
      <c r="AT17" s="23">
        <f t="shared" si="14"/>
        <v>0</v>
      </c>
      <c r="AU17" s="5"/>
      <c r="AV17" s="5"/>
    </row>
    <row r="18" spans="1:48" ht="14.25" customHeight="1">
      <c r="A18" s="8" t="s">
        <v>16</v>
      </c>
      <c r="B18" s="27">
        <v>1.17</v>
      </c>
      <c r="C18" s="21">
        <f t="shared" si="15"/>
        <v>1.246271836386877</v>
      </c>
      <c r="D18" s="21">
        <f t="shared" si="0"/>
        <v>0</v>
      </c>
      <c r="E18" s="27">
        <v>0.98</v>
      </c>
      <c r="F18" s="21">
        <f t="shared" si="16"/>
        <v>1.0473442342631185</v>
      </c>
      <c r="G18" s="21">
        <f t="shared" si="1"/>
        <v>0</v>
      </c>
      <c r="H18" s="27">
        <v>0.99</v>
      </c>
      <c r="I18" s="21">
        <f t="shared" si="17"/>
        <v>1.0681916271040137</v>
      </c>
      <c r="J18" s="21">
        <f t="shared" si="2"/>
        <v>0</v>
      </c>
      <c r="K18" s="27">
        <v>1.53</v>
      </c>
      <c r="L18" s="21">
        <f t="shared" si="18"/>
        <v>1.6504854368932038</v>
      </c>
      <c r="M18" s="21">
        <f t="shared" si="3"/>
        <v>0</v>
      </c>
      <c r="N18" s="27">
        <v>0.84</v>
      </c>
      <c r="O18" s="21">
        <f t="shared" si="19"/>
        <v>0.90128755364806867</v>
      </c>
      <c r="P18" s="21">
        <f t="shared" si="4"/>
        <v>0</v>
      </c>
      <c r="Q18" s="27">
        <v>1.3</v>
      </c>
      <c r="R18" s="21">
        <f t="shared" si="20"/>
        <v>1.3932054442181974</v>
      </c>
      <c r="S18" s="21">
        <f t="shared" si="5"/>
        <v>0</v>
      </c>
      <c r="T18" s="27">
        <v>0.76</v>
      </c>
      <c r="U18" s="21">
        <f t="shared" si="21"/>
        <v>0.81720430107526887</v>
      </c>
      <c r="V18" s="21">
        <f t="shared" si="6"/>
        <v>0</v>
      </c>
      <c r="W18" s="33">
        <v>0.65</v>
      </c>
      <c r="X18" s="22">
        <f t="shared" si="22"/>
        <v>0.65104166666666663</v>
      </c>
      <c r="Y18" s="22">
        <f t="shared" si="7"/>
        <v>0</v>
      </c>
      <c r="Z18" s="27">
        <v>1.08</v>
      </c>
      <c r="AA18" s="21">
        <f t="shared" si="23"/>
        <v>1.1646716273050792</v>
      </c>
      <c r="AB18" s="21">
        <f t="shared" si="8"/>
        <v>0</v>
      </c>
      <c r="AC18" s="27">
        <v>0.92</v>
      </c>
      <c r="AD18" s="21">
        <f t="shared" si="24"/>
        <v>0.99470212995999574</v>
      </c>
      <c r="AE18" s="21">
        <f t="shared" si="9"/>
        <v>0</v>
      </c>
      <c r="AF18" s="27">
        <v>0.8</v>
      </c>
      <c r="AG18" s="21">
        <f t="shared" si="25"/>
        <v>0.85855333762609998</v>
      </c>
      <c r="AH18" s="21">
        <f t="shared" si="10"/>
        <v>0</v>
      </c>
      <c r="AI18" s="27">
        <v>0.59</v>
      </c>
      <c r="AJ18" s="21">
        <f t="shared" si="26"/>
        <v>0.62980358667805292</v>
      </c>
      <c r="AK18" s="21">
        <f t="shared" si="11"/>
        <v>0</v>
      </c>
      <c r="AL18" s="35">
        <v>0.4</v>
      </c>
      <c r="AM18" s="21">
        <f t="shared" si="27"/>
        <v>0.43388653867013777</v>
      </c>
      <c r="AN18" s="23">
        <f t="shared" si="12"/>
        <v>0</v>
      </c>
      <c r="AO18" s="31">
        <v>1.43</v>
      </c>
      <c r="AP18" s="21">
        <f t="shared" si="28"/>
        <v>1.5625</v>
      </c>
      <c r="AQ18" s="23">
        <f t="shared" si="13"/>
        <v>0</v>
      </c>
      <c r="AR18" s="31">
        <v>0.72</v>
      </c>
      <c r="AS18" s="21">
        <f t="shared" si="29"/>
        <v>0.7658759706414211</v>
      </c>
      <c r="AT18" s="23">
        <f t="shared" si="14"/>
        <v>0</v>
      </c>
      <c r="AU18" s="5"/>
      <c r="AV18" s="5"/>
    </row>
    <row r="19" spans="1:48" ht="14.25" customHeight="1">
      <c r="A19" s="8" t="s">
        <v>17</v>
      </c>
      <c r="B19" s="27">
        <v>0</v>
      </c>
      <c r="C19" s="21">
        <f t="shared" si="15"/>
        <v>0</v>
      </c>
      <c r="D19" s="21">
        <f t="shared" si="0"/>
        <v>0</v>
      </c>
      <c r="E19" s="27">
        <v>0.12</v>
      </c>
      <c r="F19" s="21">
        <f t="shared" si="16"/>
        <v>0.12824623276691249</v>
      </c>
      <c r="G19" s="21">
        <f t="shared" si="1"/>
        <v>0</v>
      </c>
      <c r="H19" s="27">
        <v>0.17</v>
      </c>
      <c r="I19" s="21">
        <f t="shared" si="17"/>
        <v>0.18342684505826498</v>
      </c>
      <c r="J19" s="21">
        <f t="shared" si="2"/>
        <v>0</v>
      </c>
      <c r="K19" s="27">
        <v>0.27</v>
      </c>
      <c r="L19" s="21">
        <f t="shared" si="18"/>
        <v>0.29126213592233008</v>
      </c>
      <c r="M19" s="21">
        <f t="shared" si="3"/>
        <v>0</v>
      </c>
      <c r="N19" s="27">
        <v>0</v>
      </c>
      <c r="O19" s="21">
        <f t="shared" si="19"/>
        <v>0</v>
      </c>
      <c r="P19" s="21">
        <f t="shared" si="4"/>
        <v>0</v>
      </c>
      <c r="Q19" s="27">
        <v>0</v>
      </c>
      <c r="R19" s="21">
        <f t="shared" si="20"/>
        <v>0</v>
      </c>
      <c r="S19" s="21">
        <f t="shared" si="5"/>
        <v>0</v>
      </c>
      <c r="T19" s="27">
        <v>0</v>
      </c>
      <c r="U19" s="21">
        <f t="shared" si="21"/>
        <v>0</v>
      </c>
      <c r="V19" s="21">
        <f t="shared" si="6"/>
        <v>0</v>
      </c>
      <c r="W19" s="33">
        <v>0.13</v>
      </c>
      <c r="X19" s="22">
        <f t="shared" si="22"/>
        <v>0.13020833333333334</v>
      </c>
      <c r="Y19" s="22">
        <f t="shared" si="7"/>
        <v>0</v>
      </c>
      <c r="Z19" s="27">
        <v>0.2</v>
      </c>
      <c r="AA19" s="21">
        <f t="shared" si="23"/>
        <v>0.21567993098242208</v>
      </c>
      <c r="AB19" s="21">
        <f t="shared" si="8"/>
        <v>0</v>
      </c>
      <c r="AC19" s="27">
        <v>0</v>
      </c>
      <c r="AD19" s="21">
        <f t="shared" si="24"/>
        <v>0</v>
      </c>
      <c r="AE19" s="21">
        <f t="shared" si="9"/>
        <v>0</v>
      </c>
      <c r="AF19" s="27">
        <v>0.11</v>
      </c>
      <c r="AG19" s="21">
        <f t="shared" si="25"/>
        <v>0.11805108392358875</v>
      </c>
      <c r="AH19" s="21">
        <f t="shared" si="10"/>
        <v>0</v>
      </c>
      <c r="AI19" s="27">
        <v>0</v>
      </c>
      <c r="AJ19" s="21">
        <f t="shared" si="26"/>
        <v>0</v>
      </c>
      <c r="AK19" s="21">
        <f t="shared" si="11"/>
        <v>0</v>
      </c>
      <c r="AL19" s="35">
        <v>0</v>
      </c>
      <c r="AM19" s="21">
        <f t="shared" si="27"/>
        <v>0</v>
      </c>
      <c r="AN19" s="23">
        <f t="shared" si="12"/>
        <v>0</v>
      </c>
      <c r="AO19" s="31">
        <v>0</v>
      </c>
      <c r="AP19" s="21">
        <f t="shared" si="28"/>
        <v>0</v>
      </c>
      <c r="AQ19" s="23">
        <f t="shared" si="13"/>
        <v>0</v>
      </c>
      <c r="AR19" s="31">
        <v>0</v>
      </c>
      <c r="AS19" s="21">
        <f t="shared" si="29"/>
        <v>0</v>
      </c>
      <c r="AT19" s="23">
        <f t="shared" si="14"/>
        <v>0</v>
      </c>
      <c r="AU19" s="5"/>
      <c r="AV19" s="5"/>
    </row>
    <row r="20" spans="1:48" ht="14.25" customHeight="1">
      <c r="A20" s="8" t="s">
        <v>18</v>
      </c>
      <c r="B20" s="27">
        <v>0</v>
      </c>
      <c r="C20" s="21">
        <f t="shared" si="15"/>
        <v>0</v>
      </c>
      <c r="D20" s="21">
        <f t="shared" si="0"/>
        <v>0</v>
      </c>
      <c r="E20" s="27">
        <v>0</v>
      </c>
      <c r="F20" s="21">
        <f t="shared" si="16"/>
        <v>0</v>
      </c>
      <c r="G20" s="21">
        <f t="shared" si="1"/>
        <v>0</v>
      </c>
      <c r="H20" s="27">
        <v>0</v>
      </c>
      <c r="I20" s="21">
        <f t="shared" si="17"/>
        <v>0</v>
      </c>
      <c r="J20" s="21">
        <f t="shared" si="2"/>
        <v>0</v>
      </c>
      <c r="K20" s="27">
        <v>0</v>
      </c>
      <c r="L20" s="21">
        <f t="shared" si="18"/>
        <v>0</v>
      </c>
      <c r="M20" s="21">
        <f t="shared" si="3"/>
        <v>0</v>
      </c>
      <c r="N20" s="27">
        <v>0</v>
      </c>
      <c r="O20" s="21">
        <f t="shared" si="19"/>
        <v>0</v>
      </c>
      <c r="P20" s="21">
        <f t="shared" si="4"/>
        <v>0</v>
      </c>
      <c r="Q20" s="27">
        <v>0</v>
      </c>
      <c r="R20" s="21">
        <f t="shared" si="20"/>
        <v>0</v>
      </c>
      <c r="S20" s="21">
        <f t="shared" si="5"/>
        <v>0</v>
      </c>
      <c r="T20" s="27">
        <v>0</v>
      </c>
      <c r="U20" s="21">
        <f t="shared" si="21"/>
        <v>0</v>
      </c>
      <c r="V20" s="21">
        <f t="shared" si="6"/>
        <v>0</v>
      </c>
      <c r="W20" s="33">
        <v>0</v>
      </c>
      <c r="X20" s="22">
        <f t="shared" si="22"/>
        <v>0</v>
      </c>
      <c r="Y20" s="22">
        <f t="shared" si="7"/>
        <v>0</v>
      </c>
      <c r="Z20" s="27">
        <v>0</v>
      </c>
      <c r="AA20" s="21">
        <f t="shared" si="23"/>
        <v>0</v>
      </c>
      <c r="AB20" s="21">
        <f t="shared" si="8"/>
        <v>0</v>
      </c>
      <c r="AC20" s="27">
        <v>0</v>
      </c>
      <c r="AD20" s="21">
        <f t="shared" si="24"/>
        <v>0</v>
      </c>
      <c r="AE20" s="21">
        <f t="shared" si="9"/>
        <v>0</v>
      </c>
      <c r="AF20" s="27">
        <v>0</v>
      </c>
      <c r="AG20" s="21">
        <f t="shared" si="25"/>
        <v>0</v>
      </c>
      <c r="AH20" s="21">
        <f t="shared" si="10"/>
        <v>0</v>
      </c>
      <c r="AI20" s="27">
        <v>0</v>
      </c>
      <c r="AJ20" s="21">
        <f t="shared" si="26"/>
        <v>0</v>
      </c>
      <c r="AK20" s="21">
        <f t="shared" si="11"/>
        <v>0</v>
      </c>
      <c r="AL20" s="35">
        <v>0</v>
      </c>
      <c r="AM20" s="21">
        <f t="shared" si="27"/>
        <v>0</v>
      </c>
      <c r="AN20" s="23">
        <f t="shared" si="12"/>
        <v>0</v>
      </c>
      <c r="AO20" s="31">
        <v>0</v>
      </c>
      <c r="AP20" s="21">
        <f t="shared" si="28"/>
        <v>0</v>
      </c>
      <c r="AQ20" s="23">
        <f t="shared" si="13"/>
        <v>0</v>
      </c>
      <c r="AR20" s="31">
        <v>0</v>
      </c>
      <c r="AS20" s="21">
        <f t="shared" si="29"/>
        <v>0</v>
      </c>
      <c r="AT20" s="23">
        <f t="shared" si="14"/>
        <v>0</v>
      </c>
      <c r="AU20" s="5"/>
      <c r="AV20" s="5"/>
    </row>
    <row r="21" spans="1:48" ht="14.25" customHeight="1">
      <c r="A21" s="8" t="s">
        <v>19</v>
      </c>
      <c r="B21" s="27">
        <v>8.5</v>
      </c>
      <c r="C21" s="21">
        <f t="shared" si="15"/>
        <v>9.0541116318704731</v>
      </c>
      <c r="D21" s="21">
        <f t="shared" si="0"/>
        <v>0</v>
      </c>
      <c r="E21" s="27">
        <v>8.94</v>
      </c>
      <c r="F21" s="21">
        <f t="shared" si="16"/>
        <v>9.5543443411349802</v>
      </c>
      <c r="G21" s="21">
        <f t="shared" si="1"/>
        <v>0</v>
      </c>
      <c r="H21" s="27">
        <v>9.94</v>
      </c>
      <c r="I21" s="21">
        <f t="shared" si="17"/>
        <v>10.725075528700906</v>
      </c>
      <c r="J21" s="21">
        <f t="shared" si="2"/>
        <v>0</v>
      </c>
      <c r="K21" s="27">
        <v>12.25</v>
      </c>
      <c r="L21" s="21">
        <f t="shared" si="18"/>
        <v>13.214670981661273</v>
      </c>
      <c r="M21" s="21">
        <f t="shared" si="3"/>
        <v>0</v>
      </c>
      <c r="N21" s="27">
        <v>9.02</v>
      </c>
      <c r="O21" s="21">
        <f t="shared" si="19"/>
        <v>9.6781115879828317</v>
      </c>
      <c r="P21" s="21">
        <f t="shared" si="4"/>
        <v>0</v>
      </c>
      <c r="Q21" s="31">
        <v>8.73</v>
      </c>
      <c r="R21" s="21">
        <f t="shared" si="20"/>
        <v>9.3559104061729723</v>
      </c>
      <c r="S21" s="21">
        <f t="shared" si="5"/>
        <v>0</v>
      </c>
      <c r="T21" s="27">
        <v>7.86</v>
      </c>
      <c r="U21" s="21">
        <f t="shared" si="21"/>
        <v>8.4516129032258061</v>
      </c>
      <c r="V21" s="21">
        <f t="shared" si="6"/>
        <v>0</v>
      </c>
      <c r="W21" s="33">
        <v>7.71</v>
      </c>
      <c r="X21" s="22">
        <f t="shared" si="22"/>
        <v>7.7223557692307692</v>
      </c>
      <c r="Y21" s="22">
        <f t="shared" si="7"/>
        <v>0</v>
      </c>
      <c r="Z21" s="27">
        <v>7.3</v>
      </c>
      <c r="AA21" s="21">
        <f t="shared" si="23"/>
        <v>7.8723174808584062</v>
      </c>
      <c r="AB21" s="21">
        <f t="shared" si="8"/>
        <v>0</v>
      </c>
      <c r="AC21" s="27">
        <v>9.39</v>
      </c>
      <c r="AD21" s="21">
        <f t="shared" si="24"/>
        <v>10.152448913396043</v>
      </c>
      <c r="AE21" s="21">
        <f t="shared" si="9"/>
        <v>0</v>
      </c>
      <c r="AF21" s="27">
        <v>9.94</v>
      </c>
      <c r="AG21" s="21">
        <f t="shared" si="25"/>
        <v>10.667525220004292</v>
      </c>
      <c r="AH21" s="21">
        <f t="shared" si="10"/>
        <v>0</v>
      </c>
      <c r="AI21" s="27">
        <v>8.7100000000000009</v>
      </c>
      <c r="AJ21" s="21">
        <f t="shared" si="26"/>
        <v>9.2976088812980358</v>
      </c>
      <c r="AK21" s="21">
        <f t="shared" si="11"/>
        <v>0</v>
      </c>
      <c r="AL21" s="35">
        <v>9.19</v>
      </c>
      <c r="AM21" s="21">
        <f t="shared" si="27"/>
        <v>9.9685432259464157</v>
      </c>
      <c r="AN21" s="23">
        <f t="shared" si="12"/>
        <v>0</v>
      </c>
      <c r="AO21" s="31">
        <v>9.43</v>
      </c>
      <c r="AP21" s="21">
        <f t="shared" si="28"/>
        <v>10.303758741258742</v>
      </c>
      <c r="AQ21" s="23">
        <f t="shared" si="13"/>
        <v>0</v>
      </c>
      <c r="AR21" s="31">
        <v>9.1</v>
      </c>
      <c r="AS21" s="21">
        <f t="shared" si="29"/>
        <v>9.6798212956068497</v>
      </c>
      <c r="AT21" s="23">
        <f t="shared" si="14"/>
        <v>0</v>
      </c>
      <c r="AU21" s="5"/>
      <c r="AV21" s="5"/>
    </row>
    <row r="22" spans="1:48" ht="14.25" customHeight="1">
      <c r="A22" s="8" t="s">
        <v>20</v>
      </c>
      <c r="B22" s="27">
        <v>23.97</v>
      </c>
      <c r="C22" s="21">
        <f t="shared" si="15"/>
        <v>25.532594801874733</v>
      </c>
      <c r="D22" s="21">
        <f t="shared" si="0"/>
        <v>0</v>
      </c>
      <c r="E22" s="27">
        <v>24.2</v>
      </c>
      <c r="F22" s="21">
        <f t="shared" si="16"/>
        <v>25.862990274660685</v>
      </c>
      <c r="G22" s="21">
        <f t="shared" si="1"/>
        <v>0</v>
      </c>
      <c r="H22" s="27">
        <v>19.07</v>
      </c>
      <c r="I22" s="21">
        <f t="shared" si="17"/>
        <v>20.576176089771256</v>
      </c>
      <c r="J22" s="21">
        <f t="shared" si="2"/>
        <v>0</v>
      </c>
      <c r="K22" s="27">
        <v>12.59</v>
      </c>
      <c r="L22" s="21">
        <f t="shared" si="18"/>
        <v>13.581445523193096</v>
      </c>
      <c r="M22" s="21">
        <f t="shared" si="3"/>
        <v>0</v>
      </c>
      <c r="N22" s="27">
        <v>27.11</v>
      </c>
      <c r="O22" s="21">
        <f t="shared" si="19"/>
        <v>29.087982832618025</v>
      </c>
      <c r="P22" s="21">
        <f t="shared" si="4"/>
        <v>0</v>
      </c>
      <c r="Q22" s="27">
        <v>22.8</v>
      </c>
      <c r="R22" s="21">
        <f t="shared" si="20"/>
        <v>24.434680098596075</v>
      </c>
      <c r="S22" s="21">
        <f t="shared" si="5"/>
        <v>0</v>
      </c>
      <c r="T22" s="27">
        <v>27.88</v>
      </c>
      <c r="U22" s="21">
        <f t="shared" si="21"/>
        <v>29.978494623655912</v>
      </c>
      <c r="V22" s="21">
        <f t="shared" si="6"/>
        <v>0</v>
      </c>
      <c r="W22" s="33">
        <v>28.51</v>
      </c>
      <c r="X22" s="22">
        <f t="shared" si="22"/>
        <v>28.555689102564102</v>
      </c>
      <c r="Y22" s="22">
        <f t="shared" si="7"/>
        <v>0</v>
      </c>
      <c r="Z22" s="27">
        <v>20.78</v>
      </c>
      <c r="AA22" s="21">
        <f t="shared" si="23"/>
        <v>22.409144829073654</v>
      </c>
      <c r="AB22" s="21">
        <f t="shared" si="8"/>
        <v>0</v>
      </c>
      <c r="AC22" s="27">
        <v>21.17</v>
      </c>
      <c r="AD22" s="21">
        <f t="shared" si="24"/>
        <v>22.888960968753381</v>
      </c>
      <c r="AE22" s="21">
        <f t="shared" si="9"/>
        <v>0</v>
      </c>
      <c r="AF22" s="27">
        <v>26.06</v>
      </c>
      <c r="AG22" s="21">
        <f t="shared" si="25"/>
        <v>27.967374973170205</v>
      </c>
      <c r="AH22" s="21">
        <f t="shared" si="10"/>
        <v>0</v>
      </c>
      <c r="AI22" s="27">
        <v>29.85</v>
      </c>
      <c r="AJ22" s="21">
        <f t="shared" si="26"/>
        <v>31.863791631084542</v>
      </c>
      <c r="AK22" s="21">
        <f t="shared" si="11"/>
        <v>0</v>
      </c>
      <c r="AL22" s="35">
        <v>24.47</v>
      </c>
      <c r="AM22" s="21">
        <f t="shared" si="27"/>
        <v>26.543009003145677</v>
      </c>
      <c r="AN22" s="23">
        <f t="shared" si="12"/>
        <v>0</v>
      </c>
      <c r="AO22" s="31">
        <v>15.51</v>
      </c>
      <c r="AP22" s="21">
        <f t="shared" si="28"/>
        <v>16.947115384615387</v>
      </c>
      <c r="AQ22" s="23">
        <f t="shared" si="13"/>
        <v>0</v>
      </c>
      <c r="AR22" s="31">
        <v>29.45</v>
      </c>
      <c r="AS22" s="21">
        <f t="shared" si="29"/>
        <v>31.326454632485905</v>
      </c>
      <c r="AT22" s="23">
        <f t="shared" si="14"/>
        <v>0</v>
      </c>
      <c r="AU22" s="5"/>
      <c r="AV22" s="5"/>
    </row>
    <row r="23" spans="1:48" ht="14.25" customHeight="1">
      <c r="A23" s="8" t="s">
        <v>21</v>
      </c>
      <c r="B23" s="27">
        <v>2.61</v>
      </c>
      <c r="C23" s="21">
        <f t="shared" si="15"/>
        <v>2.7801448657861099</v>
      </c>
      <c r="D23" s="21">
        <f t="shared" si="0"/>
        <v>0</v>
      </c>
      <c r="E23" s="27">
        <v>2.4700000000000002</v>
      </c>
      <c r="F23" s="21">
        <f t="shared" si="16"/>
        <v>2.6397349577856155</v>
      </c>
      <c r="G23" s="21">
        <f t="shared" si="1"/>
        <v>0</v>
      </c>
      <c r="H23" s="27">
        <v>3.45</v>
      </c>
      <c r="I23" s="21">
        <f t="shared" si="17"/>
        <v>3.7224859732412598</v>
      </c>
      <c r="J23" s="21">
        <f t="shared" si="2"/>
        <v>0</v>
      </c>
      <c r="K23" s="27">
        <v>3.46</v>
      </c>
      <c r="L23" s="21">
        <f t="shared" si="18"/>
        <v>3.7324703344120818</v>
      </c>
      <c r="M23" s="21">
        <f t="shared" si="3"/>
        <v>0</v>
      </c>
      <c r="N23" s="27">
        <v>2.5499999999999998</v>
      </c>
      <c r="O23" s="21">
        <f t="shared" si="19"/>
        <v>2.7360515021459224</v>
      </c>
      <c r="P23" s="21">
        <f t="shared" si="4"/>
        <v>0</v>
      </c>
      <c r="Q23" s="27">
        <v>2.83</v>
      </c>
      <c r="R23" s="21">
        <f t="shared" si="20"/>
        <v>3.0329010824134603</v>
      </c>
      <c r="S23" s="21">
        <f t="shared" si="5"/>
        <v>0</v>
      </c>
      <c r="T23" s="27">
        <v>2.34</v>
      </c>
      <c r="U23" s="21">
        <f t="shared" si="21"/>
        <v>2.5161290322580645</v>
      </c>
      <c r="V23" s="21">
        <f t="shared" si="6"/>
        <v>0</v>
      </c>
      <c r="W23" s="33">
        <v>2.68</v>
      </c>
      <c r="X23" s="22">
        <f t="shared" si="22"/>
        <v>2.6842948717948718</v>
      </c>
      <c r="Y23" s="22">
        <f t="shared" si="7"/>
        <v>0</v>
      </c>
      <c r="Z23" s="27">
        <v>3.31</v>
      </c>
      <c r="AA23" s="21">
        <f t="shared" si="23"/>
        <v>3.5695028577590855</v>
      </c>
      <c r="AB23" s="21">
        <f t="shared" si="8"/>
        <v>0</v>
      </c>
      <c r="AC23" s="27">
        <v>3.26</v>
      </c>
      <c r="AD23" s="21">
        <f t="shared" si="24"/>
        <v>3.524705373553898</v>
      </c>
      <c r="AE23" s="21">
        <f t="shared" si="9"/>
        <v>0</v>
      </c>
      <c r="AF23" s="27">
        <v>3.2</v>
      </c>
      <c r="AG23" s="21">
        <f t="shared" si="25"/>
        <v>3.4342133505043999</v>
      </c>
      <c r="AH23" s="21">
        <f t="shared" si="10"/>
        <v>0</v>
      </c>
      <c r="AI23" s="27">
        <v>2.9</v>
      </c>
      <c r="AJ23" s="21">
        <f t="shared" si="26"/>
        <v>3.0956447480785649</v>
      </c>
      <c r="AK23" s="21">
        <f t="shared" si="11"/>
        <v>0</v>
      </c>
      <c r="AL23" s="35">
        <v>3.59</v>
      </c>
      <c r="AM23" s="21">
        <f t="shared" si="27"/>
        <v>3.8941316845644867</v>
      </c>
      <c r="AN23" s="23">
        <f t="shared" si="12"/>
        <v>0</v>
      </c>
      <c r="AO23" s="31">
        <v>3.24</v>
      </c>
      <c r="AP23" s="21">
        <f t="shared" si="28"/>
        <v>3.5402097902097904</v>
      </c>
      <c r="AQ23" s="23">
        <f t="shared" si="13"/>
        <v>0</v>
      </c>
      <c r="AR23" s="31">
        <v>3.38</v>
      </c>
      <c r="AS23" s="21">
        <f t="shared" si="29"/>
        <v>3.5953621955111155</v>
      </c>
      <c r="AT23" s="23">
        <f t="shared" si="14"/>
        <v>0</v>
      </c>
      <c r="AU23" s="5"/>
      <c r="AV23" s="5"/>
    </row>
    <row r="24" spans="1:48" ht="14.25" customHeight="1">
      <c r="A24" s="8" t="s">
        <v>22</v>
      </c>
      <c r="B24" s="27">
        <v>0.19</v>
      </c>
      <c r="C24" s="21">
        <f t="shared" si="15"/>
        <v>0.2023860247123988</v>
      </c>
      <c r="D24" s="21">
        <f t="shared" si="0"/>
        <v>0</v>
      </c>
      <c r="E24" s="27">
        <v>0</v>
      </c>
      <c r="F24" s="21">
        <f t="shared" si="16"/>
        <v>0</v>
      </c>
      <c r="G24" s="21">
        <f t="shared" si="1"/>
        <v>0</v>
      </c>
      <c r="H24" s="27">
        <v>0</v>
      </c>
      <c r="I24" s="21">
        <f t="shared" si="17"/>
        <v>0</v>
      </c>
      <c r="J24" s="21">
        <f t="shared" si="2"/>
        <v>0</v>
      </c>
      <c r="K24" s="27">
        <v>0</v>
      </c>
      <c r="L24" s="21">
        <f t="shared" si="18"/>
        <v>0</v>
      </c>
      <c r="M24" s="21">
        <f t="shared" si="3"/>
        <v>0</v>
      </c>
      <c r="N24" s="27">
        <v>0.27</v>
      </c>
      <c r="O24" s="21">
        <f t="shared" si="19"/>
        <v>0.28969957081545061</v>
      </c>
      <c r="P24" s="21">
        <f t="shared" si="4"/>
        <v>0</v>
      </c>
      <c r="Q24" s="27">
        <v>0.26</v>
      </c>
      <c r="R24" s="21">
        <f t="shared" si="20"/>
        <v>0.27864108884363947</v>
      </c>
      <c r="S24" s="21">
        <f t="shared" si="5"/>
        <v>0</v>
      </c>
      <c r="T24" s="27">
        <v>0.23</v>
      </c>
      <c r="U24" s="21">
        <f t="shared" si="21"/>
        <v>0.24731182795698925</v>
      </c>
      <c r="V24" s="21">
        <f t="shared" si="6"/>
        <v>0</v>
      </c>
      <c r="W24" s="33">
        <v>0.27</v>
      </c>
      <c r="X24" s="22">
        <f t="shared" si="22"/>
        <v>0.27043269230769229</v>
      </c>
      <c r="Y24" s="22">
        <f t="shared" si="7"/>
        <v>0</v>
      </c>
      <c r="Z24" s="27">
        <v>0</v>
      </c>
      <c r="AA24" s="21">
        <f t="shared" si="23"/>
        <v>0</v>
      </c>
      <c r="AB24" s="21">
        <f t="shared" si="8"/>
        <v>0</v>
      </c>
      <c r="AC24" s="27">
        <v>0</v>
      </c>
      <c r="AD24" s="21">
        <f t="shared" si="24"/>
        <v>0</v>
      </c>
      <c r="AE24" s="21">
        <f t="shared" si="9"/>
        <v>0</v>
      </c>
      <c r="AF24" s="27">
        <v>0</v>
      </c>
      <c r="AG24" s="21">
        <f t="shared" si="25"/>
        <v>0</v>
      </c>
      <c r="AH24" s="21">
        <f t="shared" si="10"/>
        <v>0</v>
      </c>
      <c r="AI24" s="27">
        <v>0</v>
      </c>
      <c r="AJ24" s="21">
        <f t="shared" si="26"/>
        <v>0</v>
      </c>
      <c r="AK24" s="21">
        <f t="shared" si="11"/>
        <v>0</v>
      </c>
      <c r="AL24" s="35">
        <v>0</v>
      </c>
      <c r="AM24" s="21">
        <f t="shared" si="27"/>
        <v>0</v>
      </c>
      <c r="AN24" s="23">
        <f t="shared" si="12"/>
        <v>0</v>
      </c>
      <c r="AO24" s="31">
        <v>0</v>
      </c>
      <c r="AP24" s="21">
        <f t="shared" si="28"/>
        <v>0</v>
      </c>
      <c r="AQ24" s="23">
        <f t="shared" si="13"/>
        <v>0</v>
      </c>
      <c r="AR24" s="31">
        <v>0</v>
      </c>
      <c r="AS24" s="21">
        <f t="shared" si="29"/>
        <v>0</v>
      </c>
      <c r="AT24" s="23">
        <f t="shared" si="14"/>
        <v>0</v>
      </c>
      <c r="AU24" s="5"/>
      <c r="AV24" s="5"/>
    </row>
    <row r="25" spans="1:48" ht="14.25" customHeight="1">
      <c r="A25" s="1" t="s">
        <v>23</v>
      </c>
      <c r="B25" s="27">
        <v>15.45</v>
      </c>
      <c r="C25" s="21">
        <f t="shared" si="15"/>
        <v>16.457179377929272</v>
      </c>
      <c r="D25" s="21">
        <f t="shared" si="0"/>
        <v>0</v>
      </c>
      <c r="E25" s="27">
        <v>16.97</v>
      </c>
      <c r="F25" s="21">
        <f t="shared" si="16"/>
        <v>18.136154750454207</v>
      </c>
      <c r="G25" s="21">
        <f t="shared" si="1"/>
        <v>0</v>
      </c>
      <c r="H25" s="27">
        <v>20.51</v>
      </c>
      <c r="I25" s="21">
        <f t="shared" si="17"/>
        <v>22.129909365558913</v>
      </c>
      <c r="J25" s="21">
        <f t="shared" si="2"/>
        <v>0</v>
      </c>
      <c r="K25" s="27">
        <v>15.21</v>
      </c>
      <c r="L25" s="21">
        <f t="shared" si="18"/>
        <v>16.407766990291261</v>
      </c>
      <c r="M25" s="21">
        <f t="shared" si="3"/>
        <v>0</v>
      </c>
      <c r="N25" s="27">
        <v>13.87</v>
      </c>
      <c r="O25" s="21">
        <f t="shared" si="19"/>
        <v>14.881974248927039</v>
      </c>
      <c r="P25" s="21">
        <f t="shared" si="4"/>
        <v>0</v>
      </c>
      <c r="Q25" s="27">
        <v>14.1</v>
      </c>
      <c r="R25" s="21">
        <f t="shared" si="20"/>
        <v>15.110920587289678</v>
      </c>
      <c r="S25" s="21">
        <f t="shared" si="5"/>
        <v>0</v>
      </c>
      <c r="T25" s="27">
        <v>12.33</v>
      </c>
      <c r="U25" s="21">
        <f t="shared" si="21"/>
        <v>13.258064516129032</v>
      </c>
      <c r="V25" s="21">
        <f t="shared" si="6"/>
        <v>0</v>
      </c>
      <c r="W25" s="33">
        <v>13.34</v>
      </c>
      <c r="X25" s="22">
        <f t="shared" si="22"/>
        <v>13.361378205128204</v>
      </c>
      <c r="Y25" s="22">
        <f t="shared" si="7"/>
        <v>0</v>
      </c>
      <c r="Z25" s="27">
        <v>15.07</v>
      </c>
      <c r="AA25" s="21">
        <f t="shared" si="23"/>
        <v>16.251482799525505</v>
      </c>
      <c r="AB25" s="21">
        <f t="shared" si="8"/>
        <v>0</v>
      </c>
      <c r="AC25" s="27">
        <v>15.1</v>
      </c>
      <c r="AD25" s="21">
        <f t="shared" si="24"/>
        <v>16.326089306952102</v>
      </c>
      <c r="AE25" s="21">
        <f t="shared" si="9"/>
        <v>0</v>
      </c>
      <c r="AF25" s="27">
        <v>12.71</v>
      </c>
      <c r="AG25" s="21">
        <f t="shared" si="25"/>
        <v>13.640266151534663</v>
      </c>
      <c r="AH25" s="21">
        <f t="shared" si="10"/>
        <v>0</v>
      </c>
      <c r="AI25" s="27">
        <v>10.98</v>
      </c>
      <c r="AJ25" s="21">
        <f t="shared" si="26"/>
        <v>11.720751494449187</v>
      </c>
      <c r="AK25" s="21">
        <f t="shared" si="11"/>
        <v>0</v>
      </c>
      <c r="AL25" s="35">
        <v>14.76</v>
      </c>
      <c r="AM25" s="21">
        <f t="shared" si="27"/>
        <v>16.010413276928084</v>
      </c>
      <c r="AN25" s="23">
        <f t="shared" si="12"/>
        <v>0</v>
      </c>
      <c r="AO25" s="31">
        <v>16.940000000000001</v>
      </c>
      <c r="AP25" s="21">
        <f t="shared" si="28"/>
        <v>18.509615384615387</v>
      </c>
      <c r="AQ25" s="23">
        <f t="shared" si="13"/>
        <v>0</v>
      </c>
      <c r="AR25" s="31">
        <v>11.64</v>
      </c>
      <c r="AS25" s="21">
        <f t="shared" si="29"/>
        <v>12.38166152536964</v>
      </c>
      <c r="AT25" s="23">
        <f t="shared" si="14"/>
        <v>0</v>
      </c>
      <c r="AU25" s="5"/>
      <c r="AV25" s="5"/>
    </row>
    <row r="26" spans="1:48" ht="14.25" customHeight="1">
      <c r="A26" s="1" t="s">
        <v>24</v>
      </c>
      <c r="B26" s="27">
        <v>0.15</v>
      </c>
      <c r="C26" s="21">
        <f t="shared" si="15"/>
        <v>0.15977844056242013</v>
      </c>
      <c r="D26" s="21">
        <f t="shared" si="0"/>
        <v>0</v>
      </c>
      <c r="E26" s="27">
        <v>0.15</v>
      </c>
      <c r="F26" s="21">
        <f t="shared" si="16"/>
        <v>0.16030779095864059</v>
      </c>
      <c r="G26" s="21">
        <v>0</v>
      </c>
      <c r="H26" s="27">
        <v>0.2</v>
      </c>
      <c r="I26" s="21">
        <f t="shared" si="17"/>
        <v>0.21579628830384115</v>
      </c>
      <c r="J26" s="21">
        <f t="shared" si="2"/>
        <v>0</v>
      </c>
      <c r="K26" s="27">
        <v>0.1</v>
      </c>
      <c r="L26" s="21">
        <f t="shared" si="18"/>
        <v>0.10787486515641855</v>
      </c>
      <c r="M26" s="21">
        <f t="shared" si="3"/>
        <v>0</v>
      </c>
      <c r="N26" s="27">
        <v>0.21</v>
      </c>
      <c r="O26" s="21">
        <f t="shared" si="19"/>
        <v>0.22532188841201717</v>
      </c>
      <c r="P26" s="21">
        <f t="shared" si="4"/>
        <v>0</v>
      </c>
      <c r="Q26" s="27">
        <v>0.28000000000000003</v>
      </c>
      <c r="R26" s="21">
        <f t="shared" si="20"/>
        <v>0.30007501875468873</v>
      </c>
      <c r="S26" s="21">
        <f t="shared" si="5"/>
        <v>0</v>
      </c>
      <c r="T26" s="27">
        <v>0.18</v>
      </c>
      <c r="U26" s="21">
        <f t="shared" si="21"/>
        <v>0.19354838709677419</v>
      </c>
      <c r="V26" s="21">
        <f t="shared" si="6"/>
        <v>0</v>
      </c>
      <c r="W26" s="33">
        <v>0.24</v>
      </c>
      <c r="X26" s="22">
        <f t="shared" si="22"/>
        <v>0.24038461538461536</v>
      </c>
      <c r="Y26" s="22">
        <f t="shared" si="7"/>
        <v>0</v>
      </c>
      <c r="Z26" s="27">
        <v>0.17</v>
      </c>
      <c r="AA26" s="21">
        <f t="shared" si="23"/>
        <v>0.18332794133505875</v>
      </c>
      <c r="AB26" s="21">
        <f t="shared" si="8"/>
        <v>0</v>
      </c>
      <c r="AC26" s="27">
        <v>0.19</v>
      </c>
      <c r="AD26" s="21">
        <f t="shared" si="24"/>
        <v>0.20542761379608607</v>
      </c>
      <c r="AE26" s="21">
        <f t="shared" si="9"/>
        <v>0</v>
      </c>
      <c r="AF26" s="27">
        <v>0.53</v>
      </c>
      <c r="AG26" s="21">
        <f t="shared" si="25"/>
        <v>0.5687915861772912</v>
      </c>
      <c r="AH26" s="21">
        <f t="shared" si="10"/>
        <v>0</v>
      </c>
      <c r="AI26" s="27">
        <v>0.42</v>
      </c>
      <c r="AJ26" s="21">
        <f t="shared" si="26"/>
        <v>0.44833475661827493</v>
      </c>
      <c r="AK26" s="21">
        <f t="shared" si="11"/>
        <v>0</v>
      </c>
      <c r="AL26" s="35">
        <v>0.56000000000000005</v>
      </c>
      <c r="AM26" s="21">
        <f t="shared" si="27"/>
        <v>0.607441154138193</v>
      </c>
      <c r="AN26" s="23">
        <f t="shared" si="12"/>
        <v>0</v>
      </c>
      <c r="AO26" s="31">
        <v>0.59</v>
      </c>
      <c r="AP26" s="21">
        <f t="shared" si="28"/>
        <v>0.64466783216783219</v>
      </c>
      <c r="AQ26" s="23">
        <f t="shared" si="13"/>
        <v>0</v>
      </c>
      <c r="AR26" s="31">
        <v>0.45</v>
      </c>
      <c r="AS26" s="21">
        <f t="shared" si="29"/>
        <v>0.47867248165088816</v>
      </c>
      <c r="AT26" s="23">
        <f t="shared" si="14"/>
        <v>0</v>
      </c>
      <c r="AU26" s="5"/>
      <c r="AV26" s="5"/>
    </row>
    <row r="27" spans="1:48" ht="14.25" customHeight="1">
      <c r="A27" s="8" t="s">
        <v>25</v>
      </c>
      <c r="B27" s="27">
        <v>6.12</v>
      </c>
      <c r="C27" s="21"/>
      <c r="D27" s="21">
        <f t="shared" si="0"/>
        <v>0</v>
      </c>
      <c r="E27" s="27">
        <v>6.43</v>
      </c>
      <c r="F27" s="21"/>
      <c r="G27" s="21">
        <v>0</v>
      </c>
      <c r="H27" s="27">
        <v>7.32</v>
      </c>
      <c r="I27" s="21"/>
      <c r="J27" s="21">
        <f t="shared" si="2"/>
        <v>0</v>
      </c>
      <c r="K27" s="27">
        <v>7.3</v>
      </c>
      <c r="L27" s="21"/>
      <c r="M27" s="21">
        <f t="shared" si="3"/>
        <v>0</v>
      </c>
      <c r="N27" s="27">
        <v>6.8</v>
      </c>
      <c r="O27" s="21"/>
      <c r="P27" s="21">
        <f t="shared" si="4"/>
        <v>0</v>
      </c>
      <c r="Q27" s="27">
        <v>6.69</v>
      </c>
      <c r="R27" s="21"/>
      <c r="S27" s="21">
        <f t="shared" si="5"/>
        <v>0</v>
      </c>
      <c r="T27" s="27">
        <v>7</v>
      </c>
      <c r="U27" s="21"/>
      <c r="V27" s="21">
        <v>0</v>
      </c>
      <c r="W27" s="33">
        <v>0.16</v>
      </c>
      <c r="X27" s="22"/>
      <c r="Y27" s="22">
        <f t="shared" si="7"/>
        <v>0</v>
      </c>
      <c r="Z27" s="27">
        <v>7.27</v>
      </c>
      <c r="AA27" s="21"/>
      <c r="AB27" s="21">
        <f t="shared" si="8"/>
        <v>0</v>
      </c>
      <c r="AC27" s="27">
        <v>7.51</v>
      </c>
      <c r="AD27" s="21"/>
      <c r="AE27" s="21">
        <f t="shared" si="9"/>
        <v>0</v>
      </c>
      <c r="AF27" s="27">
        <v>6.82</v>
      </c>
      <c r="AG27" s="21"/>
      <c r="AH27" s="21">
        <f t="shared" si="10"/>
        <v>0</v>
      </c>
      <c r="AI27" s="27">
        <v>6.32</v>
      </c>
      <c r="AJ27" s="21"/>
      <c r="AK27" s="21">
        <f t="shared" si="11"/>
        <v>0</v>
      </c>
      <c r="AL27" s="35">
        <v>7.81</v>
      </c>
      <c r="AM27" s="21"/>
      <c r="AN27" s="23">
        <f t="shared" si="12"/>
        <v>0</v>
      </c>
      <c r="AO27" s="31">
        <v>8.48</v>
      </c>
      <c r="AP27" s="21"/>
      <c r="AQ27" s="23">
        <f t="shared" si="13"/>
        <v>0</v>
      </c>
      <c r="AR27" s="31">
        <v>5.99</v>
      </c>
      <c r="AS27" s="21"/>
      <c r="AT27" s="23">
        <f t="shared" si="14"/>
        <v>0</v>
      </c>
      <c r="AU27" s="5"/>
      <c r="AV27" s="5"/>
    </row>
    <row r="28" spans="1:48" ht="14.25" customHeight="1">
      <c r="A28" s="8" t="s">
        <v>26</v>
      </c>
      <c r="B28" s="27">
        <v>0</v>
      </c>
      <c r="C28" s="21">
        <f t="shared" si="15"/>
        <v>0</v>
      </c>
      <c r="D28" s="21">
        <f t="shared" si="0"/>
        <v>0</v>
      </c>
      <c r="E28" s="27">
        <v>0</v>
      </c>
      <c r="F28" s="21">
        <f t="shared" si="16"/>
        <v>0</v>
      </c>
      <c r="G28" s="21">
        <v>0</v>
      </c>
      <c r="H28" s="27">
        <v>0</v>
      </c>
      <c r="I28" s="21">
        <f t="shared" si="17"/>
        <v>0</v>
      </c>
      <c r="J28" s="21">
        <v>0</v>
      </c>
      <c r="K28" s="27">
        <v>0</v>
      </c>
      <c r="L28" s="21">
        <f t="shared" si="18"/>
        <v>0</v>
      </c>
      <c r="M28" s="21">
        <v>0</v>
      </c>
      <c r="N28" s="27">
        <v>0</v>
      </c>
      <c r="O28" s="21">
        <f t="shared" si="19"/>
        <v>0</v>
      </c>
      <c r="P28" s="21">
        <f t="shared" si="4"/>
        <v>0</v>
      </c>
      <c r="Q28" s="27">
        <v>0</v>
      </c>
      <c r="R28" s="21">
        <f t="shared" si="20"/>
        <v>0</v>
      </c>
      <c r="S28" s="21">
        <f t="shared" si="5"/>
        <v>0</v>
      </c>
      <c r="T28" s="27">
        <v>0</v>
      </c>
      <c r="U28" s="21">
        <f t="shared" si="21"/>
        <v>0</v>
      </c>
      <c r="V28" s="21">
        <v>0</v>
      </c>
      <c r="W28" s="33">
        <v>0</v>
      </c>
      <c r="X28" s="22">
        <f t="shared" si="22"/>
        <v>0</v>
      </c>
      <c r="Y28" s="22">
        <f t="shared" si="7"/>
        <v>0</v>
      </c>
      <c r="Z28" s="27">
        <v>0</v>
      </c>
      <c r="AA28" s="21">
        <f t="shared" si="23"/>
        <v>0</v>
      </c>
      <c r="AB28" s="21">
        <f t="shared" si="8"/>
        <v>0</v>
      </c>
      <c r="AC28" s="27">
        <v>0</v>
      </c>
      <c r="AD28" s="21">
        <f t="shared" si="24"/>
        <v>0</v>
      </c>
      <c r="AE28" s="21">
        <f t="shared" si="9"/>
        <v>0</v>
      </c>
      <c r="AF28" s="27">
        <v>0</v>
      </c>
      <c r="AG28" s="21">
        <f t="shared" si="25"/>
        <v>0</v>
      </c>
      <c r="AH28" s="21">
        <f t="shared" si="10"/>
        <v>0</v>
      </c>
      <c r="AI28" s="27">
        <v>0</v>
      </c>
      <c r="AJ28" s="21">
        <f t="shared" si="26"/>
        <v>0</v>
      </c>
      <c r="AK28" s="21">
        <f t="shared" si="11"/>
        <v>0</v>
      </c>
      <c r="AL28" s="35">
        <v>0</v>
      </c>
      <c r="AM28" s="21">
        <f t="shared" si="27"/>
        <v>0</v>
      </c>
      <c r="AN28" s="23">
        <f t="shared" si="12"/>
        <v>0</v>
      </c>
      <c r="AO28" s="31">
        <v>0</v>
      </c>
      <c r="AP28" s="21">
        <f t="shared" si="28"/>
        <v>0</v>
      </c>
      <c r="AQ28" s="23">
        <f t="shared" si="13"/>
        <v>0</v>
      </c>
      <c r="AR28" s="31">
        <v>0</v>
      </c>
      <c r="AS28" s="21">
        <f t="shared" si="29"/>
        <v>0</v>
      </c>
      <c r="AT28" s="23">
        <f t="shared" si="14"/>
        <v>0</v>
      </c>
      <c r="AU28" s="5"/>
      <c r="AV28" s="5"/>
    </row>
    <row r="29" spans="1:48" ht="14.25" customHeight="1">
      <c r="A29" s="1" t="s">
        <v>27</v>
      </c>
      <c r="B29" s="27">
        <v>0.56999999999999995</v>
      </c>
      <c r="C29" s="21">
        <f t="shared" si="15"/>
        <v>0.60715807413719636</v>
      </c>
      <c r="D29" s="21">
        <f t="shared" si="0"/>
        <v>0</v>
      </c>
      <c r="E29" s="27">
        <v>0.71</v>
      </c>
      <c r="F29" s="21">
        <f t="shared" si="16"/>
        <v>0.75879021053756557</v>
      </c>
      <c r="G29" s="21">
        <f t="shared" ref="G29:G43" si="30">((E29*50*E$54/E$26)/E$55)*100</f>
        <v>0</v>
      </c>
      <c r="H29" s="27">
        <v>1.04</v>
      </c>
      <c r="I29" s="21">
        <f t="shared" si="17"/>
        <v>1.1221406991799741</v>
      </c>
      <c r="J29" s="21">
        <f t="shared" si="2"/>
        <v>0</v>
      </c>
      <c r="K29" s="27">
        <v>0.46</v>
      </c>
      <c r="L29" s="21">
        <f t="shared" si="18"/>
        <v>0.49622437971952532</v>
      </c>
      <c r="M29" s="21">
        <f t="shared" si="3"/>
        <v>0</v>
      </c>
      <c r="N29" s="27">
        <v>0.69</v>
      </c>
      <c r="O29" s="21">
        <f t="shared" si="19"/>
        <v>0.74034334763948495</v>
      </c>
      <c r="P29" s="21">
        <f t="shared" si="4"/>
        <v>0</v>
      </c>
      <c r="Q29" s="27">
        <v>1.86</v>
      </c>
      <c r="R29" s="21">
        <f t="shared" si="20"/>
        <v>1.9933554817275747</v>
      </c>
      <c r="S29" s="21">
        <f t="shared" ref="S29:S42" si="31">((Q29*50*Q$54/Q$26)/Q$55)*100</f>
        <v>0</v>
      </c>
      <c r="T29" s="27">
        <v>2.56</v>
      </c>
      <c r="U29" s="21">
        <f t="shared" si="21"/>
        <v>2.752688172043011</v>
      </c>
      <c r="V29" s="21">
        <f t="shared" ref="V29:V42" si="32">((T29*50*T$54/T$26)/T$55)*100</f>
        <v>0</v>
      </c>
      <c r="W29" s="33">
        <v>2.42</v>
      </c>
      <c r="X29" s="22">
        <f t="shared" si="22"/>
        <v>2.4238782051282048</v>
      </c>
      <c r="Y29" s="22">
        <f t="shared" ref="Y29:Y42" si="33">((W29*50*W$54/W$26)/W$55)*100</f>
        <v>0</v>
      </c>
      <c r="Z29" s="27">
        <v>3.35</v>
      </c>
      <c r="AA29" s="21">
        <f t="shared" si="23"/>
        <v>3.6126388439555699</v>
      </c>
      <c r="AB29" s="21">
        <f t="shared" ref="AB29:AB43" si="34">((Z29*50*Z$54/Z$26)/Z$55)*100</f>
        <v>0</v>
      </c>
      <c r="AC29" s="27">
        <v>2.8</v>
      </c>
      <c r="AD29" s="21">
        <f t="shared" si="24"/>
        <v>3.0273543085739001</v>
      </c>
      <c r="AE29" s="21">
        <f t="shared" ref="AE29:AE43" si="35">((AC29*50*AC$54/AC$26)/AC$55)*100</f>
        <v>0</v>
      </c>
      <c r="AF29" s="27">
        <v>2.08</v>
      </c>
      <c r="AG29" s="21">
        <f t="shared" si="25"/>
        <v>2.2322386778278598</v>
      </c>
      <c r="AH29" s="21">
        <f t="shared" ref="AH29:AH42" si="36">((AF29*50*AF$54/AF$26)/AF$55)*100</f>
        <v>0</v>
      </c>
      <c r="AI29" s="27">
        <v>1.49</v>
      </c>
      <c r="AJ29" s="21">
        <f t="shared" si="26"/>
        <v>1.5905209222886421</v>
      </c>
      <c r="AK29" s="21">
        <f t="shared" ref="AK29:AK43" si="37">((AI29*50*AI$54/AI$26)/AI$55)*100</f>
        <v>0</v>
      </c>
      <c r="AL29" s="35">
        <v>2.0099999999999998</v>
      </c>
      <c r="AM29" s="21">
        <f t="shared" si="27"/>
        <v>2.180279856817442</v>
      </c>
      <c r="AN29" s="23">
        <f t="shared" ref="AN29:AN43" si="38">((AL29*50*AL$54/AL$26)/AL$55)*100</f>
        <v>0</v>
      </c>
      <c r="AO29" s="31">
        <v>1.9</v>
      </c>
      <c r="AP29" s="21">
        <f t="shared" si="28"/>
        <v>2.0760489510489513</v>
      </c>
      <c r="AQ29" s="23">
        <f t="shared" ref="AQ29:AQ42" si="39">((AO29*50*AO$54/AO$26)/AO$55)*100</f>
        <v>0</v>
      </c>
      <c r="AR29" s="31">
        <v>1.5</v>
      </c>
      <c r="AS29" s="21">
        <f t="shared" si="29"/>
        <v>1.5955749388362939</v>
      </c>
      <c r="AT29" s="23">
        <f t="shared" ref="AT29:AT43" si="40">((AR29*50*AR$54/AR$26)/AR$55)*100</f>
        <v>0</v>
      </c>
      <c r="AU29" s="5"/>
      <c r="AV29" s="5"/>
    </row>
    <row r="30" spans="1:48" ht="14.5">
      <c r="A30" s="1" t="s">
        <v>28</v>
      </c>
      <c r="B30" s="27">
        <v>0</v>
      </c>
      <c r="C30" s="21">
        <f t="shared" si="15"/>
        <v>0</v>
      </c>
      <c r="D30" s="21">
        <f t="shared" si="0"/>
        <v>0</v>
      </c>
      <c r="E30" s="27">
        <v>0</v>
      </c>
      <c r="F30" s="21">
        <f t="shared" si="16"/>
        <v>0</v>
      </c>
      <c r="G30" s="21">
        <f t="shared" si="30"/>
        <v>0</v>
      </c>
      <c r="H30" s="27">
        <v>0</v>
      </c>
      <c r="I30" s="21">
        <f t="shared" si="17"/>
        <v>0</v>
      </c>
      <c r="J30" s="21">
        <f t="shared" si="2"/>
        <v>0</v>
      </c>
      <c r="K30" s="27">
        <v>0</v>
      </c>
      <c r="L30" s="21">
        <f t="shared" si="18"/>
        <v>0</v>
      </c>
      <c r="M30" s="21">
        <f t="shared" si="3"/>
        <v>0</v>
      </c>
      <c r="N30" s="27">
        <v>0</v>
      </c>
      <c r="O30" s="21">
        <f t="shared" si="19"/>
        <v>0</v>
      </c>
      <c r="P30" s="21">
        <f t="shared" si="4"/>
        <v>0</v>
      </c>
      <c r="Q30" s="27">
        <v>0.19</v>
      </c>
      <c r="R30" s="21">
        <f t="shared" si="20"/>
        <v>0.2036223341549673</v>
      </c>
      <c r="S30" s="21">
        <f t="shared" si="31"/>
        <v>0</v>
      </c>
      <c r="T30" s="27">
        <v>0.1</v>
      </c>
      <c r="U30" s="21">
        <f t="shared" si="21"/>
        <v>0.10752688172043011</v>
      </c>
      <c r="V30" s="21">
        <f t="shared" si="32"/>
        <v>0</v>
      </c>
      <c r="W30" s="33">
        <v>0.14000000000000001</v>
      </c>
      <c r="X30" s="22">
        <f t="shared" si="22"/>
        <v>0.14022435897435898</v>
      </c>
      <c r="Y30" s="22">
        <f t="shared" si="33"/>
        <v>0</v>
      </c>
      <c r="Z30" s="27">
        <v>0.1</v>
      </c>
      <c r="AA30" s="21">
        <f t="shared" si="23"/>
        <v>0.10783996549121104</v>
      </c>
      <c r="AB30" s="21">
        <f t="shared" si="34"/>
        <v>0</v>
      </c>
      <c r="AC30" s="27">
        <v>0.17</v>
      </c>
      <c r="AD30" s="21">
        <f t="shared" si="24"/>
        <v>0.18380365444912963</v>
      </c>
      <c r="AE30" s="21">
        <f t="shared" si="35"/>
        <v>0</v>
      </c>
      <c r="AF30" s="27">
        <v>0.41</v>
      </c>
      <c r="AG30" s="21">
        <f t="shared" si="25"/>
        <v>0.44000858553337624</v>
      </c>
      <c r="AH30" s="21">
        <f t="shared" si="36"/>
        <v>0</v>
      </c>
      <c r="AI30" s="27">
        <v>0.36</v>
      </c>
      <c r="AJ30" s="21">
        <f t="shared" si="26"/>
        <v>0.38428693424423566</v>
      </c>
      <c r="AK30" s="21">
        <f t="shared" si="37"/>
        <v>0</v>
      </c>
      <c r="AL30" s="35">
        <v>0.36</v>
      </c>
      <c r="AM30" s="21">
        <f t="shared" si="27"/>
        <v>0.39049788480312397</v>
      </c>
      <c r="AN30" s="23">
        <f t="shared" si="38"/>
        <v>0</v>
      </c>
      <c r="AO30" s="31">
        <v>0.26</v>
      </c>
      <c r="AP30" s="21">
        <f t="shared" si="28"/>
        <v>0.28409090909090912</v>
      </c>
      <c r="AQ30" s="23">
        <f t="shared" si="39"/>
        <v>0</v>
      </c>
      <c r="AR30" s="31">
        <v>0.36</v>
      </c>
      <c r="AS30" s="21">
        <f t="shared" si="29"/>
        <v>0.38293798532071055</v>
      </c>
      <c r="AT30" s="23">
        <f t="shared" si="40"/>
        <v>0</v>
      </c>
      <c r="AU30" s="5"/>
      <c r="AV30" s="5"/>
    </row>
    <row r="31" spans="1:48" ht="14.25" customHeight="1">
      <c r="A31" s="8" t="s">
        <v>29</v>
      </c>
      <c r="B31" s="27">
        <v>0.13</v>
      </c>
      <c r="C31" s="21">
        <f t="shared" si="15"/>
        <v>0.13847464848743077</v>
      </c>
      <c r="D31" s="21">
        <f t="shared" si="0"/>
        <v>0</v>
      </c>
      <c r="E31" s="27">
        <v>0.11</v>
      </c>
      <c r="F31" s="21">
        <f t="shared" si="16"/>
        <v>0.11755904670300311</v>
      </c>
      <c r="G31" s="21">
        <f t="shared" si="30"/>
        <v>0</v>
      </c>
      <c r="H31" s="27">
        <v>0.22</v>
      </c>
      <c r="I31" s="21">
        <f t="shared" si="17"/>
        <v>0.23737591713422526</v>
      </c>
      <c r="J31" s="21">
        <f t="shared" si="2"/>
        <v>0</v>
      </c>
      <c r="K31" s="27">
        <v>0.17</v>
      </c>
      <c r="L31" s="21">
        <f t="shared" si="18"/>
        <v>0.18338727076591155</v>
      </c>
      <c r="M31" s="21">
        <f t="shared" si="3"/>
        <v>0</v>
      </c>
      <c r="N31" s="27">
        <v>0.09</v>
      </c>
      <c r="O31" s="21">
        <f t="shared" si="19"/>
        <v>9.6566523605150209E-2</v>
      </c>
      <c r="P31" s="21">
        <f t="shared" si="4"/>
        <v>0</v>
      </c>
      <c r="Q31" s="36">
        <v>0.1</v>
      </c>
      <c r="R31" s="21">
        <f t="shared" si="20"/>
        <v>0.10716964955524595</v>
      </c>
      <c r="S31" s="21">
        <f t="shared" si="31"/>
        <v>0</v>
      </c>
      <c r="T31" s="27">
        <v>0.1</v>
      </c>
      <c r="U31" s="21">
        <f t="shared" si="21"/>
        <v>0.10752688172043011</v>
      </c>
      <c r="V31" s="21">
        <f t="shared" si="32"/>
        <v>0</v>
      </c>
      <c r="W31" s="33">
        <v>0.1</v>
      </c>
      <c r="X31" s="22">
        <f t="shared" si="22"/>
        <v>0.1001602564102564</v>
      </c>
      <c r="Y31" s="22">
        <f t="shared" si="33"/>
        <v>0</v>
      </c>
      <c r="Z31" s="27">
        <v>0.1</v>
      </c>
      <c r="AA31" s="21">
        <f t="shared" si="23"/>
        <v>0.10783996549121104</v>
      </c>
      <c r="AB31" s="21">
        <f t="shared" si="34"/>
        <v>0</v>
      </c>
      <c r="AC31" s="27">
        <v>0.1</v>
      </c>
      <c r="AD31" s="21">
        <f t="shared" si="24"/>
        <v>0.10811979673478214</v>
      </c>
      <c r="AE31" s="21">
        <f t="shared" si="35"/>
        <v>0</v>
      </c>
      <c r="AF31" s="27">
        <v>0.1</v>
      </c>
      <c r="AG31" s="21">
        <f t="shared" si="25"/>
        <v>0.1073191672032625</v>
      </c>
      <c r="AH31" s="21">
        <f t="shared" si="36"/>
        <v>0</v>
      </c>
      <c r="AI31" s="27">
        <v>0.1</v>
      </c>
      <c r="AJ31" s="21">
        <f t="shared" si="26"/>
        <v>0.1067463706233988</v>
      </c>
      <c r="AK31" s="21">
        <f t="shared" si="37"/>
        <v>0</v>
      </c>
      <c r="AL31" s="35">
        <v>0.1</v>
      </c>
      <c r="AM31" s="21">
        <f t="shared" si="27"/>
        <v>0.10847163466753444</v>
      </c>
      <c r="AN31" s="23">
        <f t="shared" si="38"/>
        <v>0</v>
      </c>
      <c r="AO31" s="31">
        <v>0.1</v>
      </c>
      <c r="AP31" s="21">
        <f t="shared" si="28"/>
        <v>0.10926573426573427</v>
      </c>
      <c r="AQ31" s="23">
        <f t="shared" si="39"/>
        <v>0</v>
      </c>
      <c r="AR31" s="31">
        <v>0.1</v>
      </c>
      <c r="AS31" s="21">
        <f t="shared" si="29"/>
        <v>0.10637166258908626</v>
      </c>
      <c r="AT31" s="23">
        <f t="shared" si="40"/>
        <v>0</v>
      </c>
      <c r="AU31" s="5"/>
      <c r="AV31" s="5"/>
    </row>
    <row r="32" spans="1:48" ht="14.25" customHeight="1">
      <c r="A32" s="8" t="s">
        <v>30</v>
      </c>
      <c r="B32" s="27">
        <v>0</v>
      </c>
      <c r="C32" s="21">
        <f t="shared" si="15"/>
        <v>0</v>
      </c>
      <c r="D32" s="21">
        <f t="shared" si="0"/>
        <v>0</v>
      </c>
      <c r="E32" s="27">
        <v>0</v>
      </c>
      <c r="F32" s="21">
        <f t="shared" si="16"/>
        <v>0</v>
      </c>
      <c r="G32" s="21">
        <f t="shared" si="30"/>
        <v>0</v>
      </c>
      <c r="H32" s="27">
        <v>0</v>
      </c>
      <c r="I32" s="21">
        <f t="shared" si="17"/>
        <v>0</v>
      </c>
      <c r="J32" s="21">
        <f t="shared" si="2"/>
        <v>0</v>
      </c>
      <c r="K32" s="27">
        <v>0</v>
      </c>
      <c r="L32" s="21">
        <f t="shared" si="18"/>
        <v>0</v>
      </c>
      <c r="M32" s="21">
        <f t="shared" si="3"/>
        <v>0</v>
      </c>
      <c r="N32" s="27">
        <v>0</v>
      </c>
      <c r="O32" s="21">
        <f t="shared" si="19"/>
        <v>0</v>
      </c>
      <c r="P32" s="21">
        <f t="shared" si="4"/>
        <v>0</v>
      </c>
      <c r="Q32" s="27">
        <v>0</v>
      </c>
      <c r="R32" s="21">
        <f t="shared" si="20"/>
        <v>0</v>
      </c>
      <c r="S32" s="21">
        <f t="shared" si="31"/>
        <v>0</v>
      </c>
      <c r="T32" s="27">
        <v>0</v>
      </c>
      <c r="U32" s="21">
        <f t="shared" si="21"/>
        <v>0</v>
      </c>
      <c r="V32" s="21">
        <f t="shared" si="32"/>
        <v>0</v>
      </c>
      <c r="W32" s="33"/>
      <c r="X32" s="22">
        <f t="shared" si="22"/>
        <v>0</v>
      </c>
      <c r="Y32" s="22">
        <f t="shared" si="33"/>
        <v>0</v>
      </c>
      <c r="Z32" s="27"/>
      <c r="AA32" s="21">
        <f t="shared" si="23"/>
        <v>0</v>
      </c>
      <c r="AB32" s="21">
        <f t="shared" si="34"/>
        <v>0</v>
      </c>
      <c r="AC32" s="27"/>
      <c r="AD32" s="21">
        <f t="shared" si="24"/>
        <v>0</v>
      </c>
      <c r="AE32" s="21">
        <f t="shared" si="35"/>
        <v>0</v>
      </c>
      <c r="AF32" s="27">
        <v>0</v>
      </c>
      <c r="AG32" s="21">
        <f t="shared" si="25"/>
        <v>0</v>
      </c>
      <c r="AH32" s="21">
        <f t="shared" si="36"/>
        <v>0</v>
      </c>
      <c r="AI32" s="27">
        <v>0</v>
      </c>
      <c r="AJ32" s="21">
        <f t="shared" si="26"/>
        <v>0</v>
      </c>
      <c r="AK32" s="21">
        <f t="shared" si="37"/>
        <v>0</v>
      </c>
      <c r="AL32" s="35">
        <v>0</v>
      </c>
      <c r="AM32" s="21">
        <f t="shared" si="27"/>
        <v>0</v>
      </c>
      <c r="AN32" s="23">
        <f t="shared" si="38"/>
        <v>0</v>
      </c>
      <c r="AO32" s="31">
        <v>0</v>
      </c>
      <c r="AP32" s="21">
        <f t="shared" si="28"/>
        <v>0</v>
      </c>
      <c r="AQ32" s="23">
        <f t="shared" si="39"/>
        <v>0</v>
      </c>
      <c r="AR32" s="31">
        <v>0</v>
      </c>
      <c r="AS32" s="21">
        <f t="shared" si="29"/>
        <v>0</v>
      </c>
      <c r="AT32" s="23">
        <f t="shared" si="40"/>
        <v>0</v>
      </c>
      <c r="AU32" s="5"/>
      <c r="AV32" s="5"/>
    </row>
    <row r="33" spans="1:48" ht="14.25" customHeight="1">
      <c r="A33" s="8" t="s">
        <v>31</v>
      </c>
      <c r="B33" s="27">
        <v>0.2</v>
      </c>
      <c r="C33" s="21">
        <f t="shared" si="15"/>
        <v>0.2130379207498935</v>
      </c>
      <c r="D33" s="21">
        <f t="shared" si="0"/>
        <v>0</v>
      </c>
      <c r="E33" s="27">
        <v>0.21</v>
      </c>
      <c r="F33" s="21">
        <f t="shared" si="16"/>
        <v>0.22443090734209684</v>
      </c>
      <c r="G33" s="21">
        <f t="shared" si="30"/>
        <v>0</v>
      </c>
      <c r="H33" s="27">
        <v>0.14000000000000001</v>
      </c>
      <c r="I33" s="21">
        <f t="shared" si="17"/>
        <v>0.15105740181268884</v>
      </c>
      <c r="J33" s="21">
        <f t="shared" si="2"/>
        <v>0</v>
      </c>
      <c r="K33" s="27">
        <v>0.24</v>
      </c>
      <c r="L33" s="21">
        <f t="shared" si="18"/>
        <v>0.25889967637540451</v>
      </c>
      <c r="M33" s="21">
        <f t="shared" si="3"/>
        <v>0</v>
      </c>
      <c r="N33" s="27">
        <v>0.12</v>
      </c>
      <c r="O33" s="21">
        <f t="shared" si="19"/>
        <v>0.12875536480686695</v>
      </c>
      <c r="P33" s="21">
        <f t="shared" si="4"/>
        <v>0</v>
      </c>
      <c r="Q33" s="27">
        <v>0.2</v>
      </c>
      <c r="R33" s="21">
        <f t="shared" si="20"/>
        <v>0.2143392991104919</v>
      </c>
      <c r="S33" s="21">
        <f t="shared" si="31"/>
        <v>0</v>
      </c>
      <c r="T33" s="27">
        <v>0.22</v>
      </c>
      <c r="U33" s="21">
        <f t="shared" si="21"/>
        <v>0.23655913978494625</v>
      </c>
      <c r="V33" s="21">
        <f t="shared" si="32"/>
        <v>0</v>
      </c>
      <c r="W33" s="33">
        <v>0.19</v>
      </c>
      <c r="X33" s="22">
        <f t="shared" si="22"/>
        <v>0.19030448717948717</v>
      </c>
      <c r="Y33" s="22">
        <f t="shared" si="33"/>
        <v>0</v>
      </c>
      <c r="Z33" s="27">
        <v>0.19</v>
      </c>
      <c r="AA33" s="21">
        <f t="shared" si="23"/>
        <v>0.20489593443330098</v>
      </c>
      <c r="AB33" s="21">
        <f t="shared" si="34"/>
        <v>0</v>
      </c>
      <c r="AC33" s="27">
        <v>0.23</v>
      </c>
      <c r="AD33" s="21">
        <f t="shared" si="24"/>
        <v>0.24867553248999894</v>
      </c>
      <c r="AE33" s="21">
        <f t="shared" si="35"/>
        <v>0</v>
      </c>
      <c r="AF33" s="27">
        <v>0.2</v>
      </c>
      <c r="AG33" s="21">
        <f t="shared" si="25"/>
        <v>0.21463833440652499</v>
      </c>
      <c r="AH33" s="21">
        <f t="shared" si="36"/>
        <v>0</v>
      </c>
      <c r="AI33" s="27">
        <v>0.21</v>
      </c>
      <c r="AJ33" s="21">
        <f t="shared" si="26"/>
        <v>0.22416737830913747</v>
      </c>
      <c r="AK33" s="21">
        <f t="shared" si="37"/>
        <v>0</v>
      </c>
      <c r="AL33" s="35">
        <v>0.21</v>
      </c>
      <c r="AM33" s="21">
        <f t="shared" si="27"/>
        <v>0.22779043280182232</v>
      </c>
      <c r="AN33" s="23">
        <f t="shared" si="38"/>
        <v>0</v>
      </c>
      <c r="AO33" s="31">
        <v>0.25</v>
      </c>
      <c r="AP33" s="21">
        <f t="shared" si="28"/>
        <v>0.27316433566433568</v>
      </c>
      <c r="AQ33" s="23">
        <f t="shared" si="39"/>
        <v>0</v>
      </c>
      <c r="AR33" s="31">
        <v>0.2</v>
      </c>
      <c r="AS33" s="21">
        <f t="shared" si="29"/>
        <v>0.21274332517817252</v>
      </c>
      <c r="AT33" s="23">
        <f t="shared" si="40"/>
        <v>0</v>
      </c>
      <c r="AU33" s="5"/>
      <c r="AV33" s="5"/>
    </row>
    <row r="34" spans="1:48" ht="14.25" customHeight="1">
      <c r="A34" s="8" t="s">
        <v>32</v>
      </c>
      <c r="B34" s="27">
        <f>0.13+0.21</f>
        <v>0.33999999999999997</v>
      </c>
      <c r="C34" s="21">
        <f t="shared" si="15"/>
        <v>0.36216446527481894</v>
      </c>
      <c r="D34" s="21">
        <f t="shared" si="0"/>
        <v>0</v>
      </c>
      <c r="E34" s="27">
        <v>0.37</v>
      </c>
      <c r="F34" s="21">
        <f t="shared" si="16"/>
        <v>0.39542588436464682</v>
      </c>
      <c r="G34" s="21">
        <f t="shared" si="30"/>
        <v>0</v>
      </c>
      <c r="H34" s="27">
        <v>0.28000000000000003</v>
      </c>
      <c r="I34" s="21">
        <f t="shared" si="17"/>
        <v>0.30211480362537768</v>
      </c>
      <c r="J34" s="21">
        <f t="shared" si="2"/>
        <v>0</v>
      </c>
      <c r="K34" s="27">
        <v>0.84</v>
      </c>
      <c r="L34" s="21">
        <f t="shared" si="18"/>
        <v>0.90614886731391586</v>
      </c>
      <c r="M34" s="21">
        <f t="shared" si="3"/>
        <v>0</v>
      </c>
      <c r="N34" s="27">
        <v>0.42</v>
      </c>
      <c r="O34" s="21">
        <f t="shared" si="19"/>
        <v>0.45064377682403434</v>
      </c>
      <c r="P34" s="21">
        <f t="shared" si="4"/>
        <v>0</v>
      </c>
      <c r="Q34" s="27">
        <v>0.33</v>
      </c>
      <c r="R34" s="21">
        <f t="shared" si="20"/>
        <v>0.35365984353231161</v>
      </c>
      <c r="S34" s="21">
        <f t="shared" si="31"/>
        <v>0</v>
      </c>
      <c r="T34" s="27">
        <v>0.25</v>
      </c>
      <c r="U34" s="21">
        <f t="shared" si="21"/>
        <v>0.26881720430107525</v>
      </c>
      <c r="V34" s="21">
        <f t="shared" si="32"/>
        <v>0</v>
      </c>
      <c r="W34" s="33">
        <v>0.28999999999999998</v>
      </c>
      <c r="X34" s="22">
        <f t="shared" si="22"/>
        <v>0.29046474358974356</v>
      </c>
      <c r="Y34" s="22">
        <f t="shared" si="33"/>
        <v>0</v>
      </c>
      <c r="Z34" s="27">
        <v>0.33</v>
      </c>
      <c r="AA34" s="21">
        <f t="shared" si="23"/>
        <v>0.35587188612099641</v>
      </c>
      <c r="AB34" s="21">
        <f t="shared" si="34"/>
        <v>0</v>
      </c>
      <c r="AC34" s="27">
        <v>0.25</v>
      </c>
      <c r="AD34" s="21">
        <f t="shared" si="24"/>
        <v>0.27029949183695534</v>
      </c>
      <c r="AE34" s="21">
        <f t="shared" si="35"/>
        <v>0</v>
      </c>
      <c r="AF34" s="27">
        <v>0.22</v>
      </c>
      <c r="AG34" s="21">
        <f t="shared" si="25"/>
        <v>0.2361021678471775</v>
      </c>
      <c r="AH34" s="21">
        <f t="shared" si="36"/>
        <v>0</v>
      </c>
      <c r="AI34" s="27">
        <v>0.14000000000000001</v>
      </c>
      <c r="AJ34" s="21">
        <f t="shared" si="26"/>
        <v>0.14944491887275835</v>
      </c>
      <c r="AK34" s="21">
        <f t="shared" si="37"/>
        <v>0</v>
      </c>
      <c r="AL34" s="35">
        <v>0.16</v>
      </c>
      <c r="AM34" s="21">
        <f t="shared" si="27"/>
        <v>0.17355461546805512</v>
      </c>
      <c r="AN34" s="23">
        <f t="shared" si="38"/>
        <v>0</v>
      </c>
      <c r="AO34" s="31">
        <v>0.4</v>
      </c>
      <c r="AP34" s="21">
        <f t="shared" si="28"/>
        <v>0.43706293706293708</v>
      </c>
      <c r="AQ34" s="23">
        <f t="shared" si="39"/>
        <v>0</v>
      </c>
      <c r="AR34" s="31">
        <v>0.15</v>
      </c>
      <c r="AS34" s="21">
        <f t="shared" si="29"/>
        <v>0.15955749388362939</v>
      </c>
      <c r="AT34" s="23">
        <f t="shared" si="40"/>
        <v>0</v>
      </c>
      <c r="AU34" s="5"/>
      <c r="AV34" s="5"/>
    </row>
    <row r="35" spans="1:48" ht="14.5">
      <c r="A35" s="8" t="s">
        <v>33</v>
      </c>
      <c r="B35" s="27">
        <v>0.4</v>
      </c>
      <c r="C35" s="21">
        <f t="shared" si="15"/>
        <v>0.426075841499787</v>
      </c>
      <c r="D35" s="21">
        <f t="shared" si="0"/>
        <v>0</v>
      </c>
      <c r="E35" s="27">
        <v>0.4</v>
      </c>
      <c r="F35" s="21">
        <f t="shared" si="16"/>
        <v>0.42748744255637494</v>
      </c>
      <c r="G35" s="21">
        <f t="shared" si="30"/>
        <v>0</v>
      </c>
      <c r="H35" s="27">
        <v>0.47</v>
      </c>
      <c r="I35" s="21">
        <f t="shared" si="17"/>
        <v>0.50712127751402669</v>
      </c>
      <c r="J35" s="21">
        <f t="shared" si="2"/>
        <v>0</v>
      </c>
      <c r="K35" s="27">
        <v>0.81</v>
      </c>
      <c r="L35" s="21">
        <f t="shared" si="18"/>
        <v>0.87378640776699024</v>
      </c>
      <c r="M35" s="21">
        <f t="shared" si="3"/>
        <v>0</v>
      </c>
      <c r="N35" s="27">
        <v>0.34</v>
      </c>
      <c r="O35" s="21">
        <f t="shared" si="19"/>
        <v>0.36480686695278969</v>
      </c>
      <c r="P35" s="21">
        <f t="shared" si="4"/>
        <v>0</v>
      </c>
      <c r="Q35" s="27">
        <v>0.39</v>
      </c>
      <c r="R35" s="21">
        <f t="shared" si="20"/>
        <v>0.41796163326545921</v>
      </c>
      <c r="S35" s="21">
        <f t="shared" si="31"/>
        <v>0</v>
      </c>
      <c r="T35" s="27">
        <v>0.26</v>
      </c>
      <c r="U35" s="21">
        <f t="shared" si="21"/>
        <v>0.27956989247311825</v>
      </c>
      <c r="V35" s="21">
        <f t="shared" si="32"/>
        <v>0</v>
      </c>
      <c r="W35" s="33">
        <v>0.39</v>
      </c>
      <c r="X35" s="22">
        <f t="shared" si="22"/>
        <v>0.390625</v>
      </c>
      <c r="Y35" s="22">
        <f t="shared" si="33"/>
        <v>0</v>
      </c>
      <c r="Z35" s="27">
        <v>0.4</v>
      </c>
      <c r="AA35" s="21">
        <f t="shared" si="23"/>
        <v>0.43135986196484416</v>
      </c>
      <c r="AB35" s="21">
        <f t="shared" si="34"/>
        <v>0</v>
      </c>
      <c r="AC35" s="27">
        <v>0.45</v>
      </c>
      <c r="AD35" s="21">
        <f t="shared" si="24"/>
        <v>0.48653908530651963</v>
      </c>
      <c r="AE35" s="21">
        <f t="shared" si="35"/>
        <v>0</v>
      </c>
      <c r="AF35" s="27">
        <v>0.48</v>
      </c>
      <c r="AG35" s="21">
        <f t="shared" si="25"/>
        <v>0.51513200257565994</v>
      </c>
      <c r="AH35" s="21">
        <f t="shared" si="36"/>
        <v>0</v>
      </c>
      <c r="AI35" s="27">
        <v>0.35</v>
      </c>
      <c r="AJ35" s="21">
        <f t="shared" si="26"/>
        <v>0.37361229718189581</v>
      </c>
      <c r="AK35" s="21">
        <f t="shared" si="37"/>
        <v>0</v>
      </c>
      <c r="AL35" s="35">
        <v>0.47</v>
      </c>
      <c r="AM35" s="21">
        <f t="shared" si="27"/>
        <v>0.50981668293741189</v>
      </c>
      <c r="AN35" s="23">
        <f t="shared" si="38"/>
        <v>0</v>
      </c>
      <c r="AO35" s="31">
        <v>0.71</v>
      </c>
      <c r="AP35" s="21">
        <f t="shared" si="28"/>
        <v>0.77578671328671334</v>
      </c>
      <c r="AQ35" s="23">
        <f t="shared" si="39"/>
        <v>0</v>
      </c>
      <c r="AR35" s="31">
        <v>0.37</v>
      </c>
      <c r="AS35" s="21">
        <f t="shared" si="29"/>
        <v>0.39357515157961914</v>
      </c>
      <c r="AT35" s="23">
        <f t="shared" si="40"/>
        <v>0</v>
      </c>
      <c r="AU35" s="5"/>
      <c r="AV35" s="5"/>
    </row>
    <row r="36" spans="1:48" ht="14.25" customHeight="1">
      <c r="A36" s="8" t="s">
        <v>34</v>
      </c>
      <c r="B36" s="27">
        <v>0</v>
      </c>
      <c r="C36" s="21">
        <f t="shared" si="15"/>
        <v>0</v>
      </c>
      <c r="D36" s="21">
        <f t="shared" si="0"/>
        <v>0</v>
      </c>
      <c r="E36" s="27">
        <v>0</v>
      </c>
      <c r="F36" s="21">
        <f t="shared" si="16"/>
        <v>0</v>
      </c>
      <c r="G36" s="21">
        <f t="shared" si="30"/>
        <v>0</v>
      </c>
      <c r="H36" s="27">
        <v>0</v>
      </c>
      <c r="I36" s="21">
        <f t="shared" si="17"/>
        <v>0</v>
      </c>
      <c r="J36" s="21">
        <f t="shared" si="2"/>
        <v>0</v>
      </c>
      <c r="K36" s="27">
        <v>0</v>
      </c>
      <c r="L36" s="21">
        <f t="shared" si="18"/>
        <v>0</v>
      </c>
      <c r="M36" s="21">
        <f t="shared" si="3"/>
        <v>0</v>
      </c>
      <c r="N36" s="27">
        <v>0</v>
      </c>
      <c r="O36" s="21">
        <f t="shared" si="19"/>
        <v>0</v>
      </c>
      <c r="P36" s="21">
        <f t="shared" si="4"/>
        <v>0</v>
      </c>
      <c r="Q36" s="27">
        <v>0.11</v>
      </c>
      <c r="R36" s="21">
        <f t="shared" si="20"/>
        <v>0.11788661451077055</v>
      </c>
      <c r="S36" s="21">
        <f t="shared" si="31"/>
        <v>0</v>
      </c>
      <c r="T36" s="27">
        <v>0</v>
      </c>
      <c r="U36" s="21">
        <f t="shared" si="21"/>
        <v>0</v>
      </c>
      <c r="V36" s="21">
        <f t="shared" si="32"/>
        <v>0</v>
      </c>
      <c r="W36" s="33">
        <v>0</v>
      </c>
      <c r="X36" s="22">
        <f t="shared" si="22"/>
        <v>0</v>
      </c>
      <c r="Y36" s="22">
        <f t="shared" si="33"/>
        <v>0</v>
      </c>
      <c r="Z36" s="27">
        <v>0.17</v>
      </c>
      <c r="AA36" s="21">
        <f t="shared" si="23"/>
        <v>0.18332794133505875</v>
      </c>
      <c r="AB36" s="21">
        <f t="shared" si="34"/>
        <v>0</v>
      </c>
      <c r="AC36" s="27">
        <v>0.18</v>
      </c>
      <c r="AD36" s="21">
        <f t="shared" si="24"/>
        <v>0.19461563412260785</v>
      </c>
      <c r="AE36" s="21">
        <f t="shared" si="35"/>
        <v>0</v>
      </c>
      <c r="AF36" s="27">
        <v>0.12</v>
      </c>
      <c r="AG36" s="21">
        <f t="shared" si="25"/>
        <v>0.12878300064391499</v>
      </c>
      <c r="AH36" s="21">
        <f>((AF38*50*AF$54/AF$26)/AF$55)*100</f>
        <v>0</v>
      </c>
      <c r="AI36" s="27">
        <v>0.09</v>
      </c>
      <c r="AJ36" s="21">
        <f t="shared" si="26"/>
        <v>9.6071733561058914E-2</v>
      </c>
      <c r="AK36" s="21">
        <f t="shared" si="37"/>
        <v>0</v>
      </c>
      <c r="AL36" s="35">
        <v>7.0000000000000007E-2</v>
      </c>
      <c r="AM36" s="21">
        <f t="shared" si="27"/>
        <v>7.5930144267274124E-2</v>
      </c>
      <c r="AN36" s="23">
        <f t="shared" si="38"/>
        <v>0</v>
      </c>
      <c r="AO36" s="31">
        <v>0.16</v>
      </c>
      <c r="AP36" s="21">
        <f t="shared" si="28"/>
        <v>0.17482517482517484</v>
      </c>
      <c r="AQ36" s="23">
        <f t="shared" si="39"/>
        <v>0</v>
      </c>
      <c r="AR36" s="31">
        <v>0.09</v>
      </c>
      <c r="AS36" s="21">
        <f t="shared" si="29"/>
        <v>9.5734496330177637E-2</v>
      </c>
      <c r="AT36" s="23">
        <f t="shared" si="40"/>
        <v>0</v>
      </c>
      <c r="AU36" s="5"/>
      <c r="AV36" s="5"/>
    </row>
    <row r="37" spans="1:48" ht="14.25" customHeight="1">
      <c r="A37" s="8" t="s">
        <v>88</v>
      </c>
      <c r="B37" s="27">
        <v>0</v>
      </c>
      <c r="C37" s="21">
        <f t="shared" si="15"/>
        <v>0</v>
      </c>
      <c r="D37" s="21">
        <f t="shared" si="0"/>
        <v>0</v>
      </c>
      <c r="E37" s="27">
        <v>0</v>
      </c>
      <c r="F37" s="21">
        <f t="shared" si="16"/>
        <v>0</v>
      </c>
      <c r="G37" s="21">
        <f t="shared" si="30"/>
        <v>0</v>
      </c>
      <c r="H37" s="27">
        <v>0</v>
      </c>
      <c r="I37" s="21">
        <f t="shared" si="17"/>
        <v>0</v>
      </c>
      <c r="J37" s="21">
        <v>0</v>
      </c>
      <c r="K37" s="27">
        <v>0</v>
      </c>
      <c r="L37" s="21">
        <f t="shared" si="18"/>
        <v>0</v>
      </c>
      <c r="M37" s="21">
        <v>0</v>
      </c>
      <c r="N37" s="27">
        <v>0</v>
      </c>
      <c r="O37" s="21">
        <f t="shared" si="19"/>
        <v>0</v>
      </c>
      <c r="P37" s="21">
        <f t="shared" si="4"/>
        <v>0</v>
      </c>
      <c r="Q37" s="27">
        <v>0</v>
      </c>
      <c r="R37" s="21">
        <f t="shared" si="20"/>
        <v>0</v>
      </c>
      <c r="S37" s="21">
        <f t="shared" si="31"/>
        <v>0</v>
      </c>
      <c r="T37" s="27">
        <v>0</v>
      </c>
      <c r="U37" s="21">
        <f t="shared" si="21"/>
        <v>0</v>
      </c>
      <c r="V37" s="21">
        <v>0</v>
      </c>
      <c r="W37" s="33">
        <v>0</v>
      </c>
      <c r="X37" s="22">
        <f t="shared" si="22"/>
        <v>0</v>
      </c>
      <c r="Y37" s="22">
        <v>0</v>
      </c>
      <c r="Z37" s="27">
        <v>0</v>
      </c>
      <c r="AA37" s="21">
        <f t="shared" si="23"/>
        <v>0</v>
      </c>
      <c r="AB37" s="21">
        <f t="shared" si="34"/>
        <v>0</v>
      </c>
      <c r="AC37" s="27">
        <v>0</v>
      </c>
      <c r="AD37" s="21">
        <f t="shared" si="24"/>
        <v>0</v>
      </c>
      <c r="AE37" s="21">
        <f t="shared" si="35"/>
        <v>0</v>
      </c>
      <c r="AF37" s="27">
        <v>0.13</v>
      </c>
      <c r="AG37" s="21">
        <f t="shared" si="25"/>
        <v>0.13951491736424124</v>
      </c>
      <c r="AH37" s="21">
        <v>0</v>
      </c>
      <c r="AI37" s="27">
        <v>0.12</v>
      </c>
      <c r="AJ37" s="21">
        <f t="shared" si="26"/>
        <v>0.12809564474807855</v>
      </c>
      <c r="AK37" s="21">
        <v>0</v>
      </c>
      <c r="AL37" s="35">
        <v>0.1</v>
      </c>
      <c r="AM37" s="21">
        <f t="shared" si="27"/>
        <v>0.10847163466753444</v>
      </c>
      <c r="AN37" s="23">
        <f t="shared" si="38"/>
        <v>0</v>
      </c>
      <c r="AO37" s="31">
        <v>0.12</v>
      </c>
      <c r="AP37" s="21">
        <f t="shared" si="28"/>
        <v>0.13111888111888112</v>
      </c>
      <c r="AQ37" s="23">
        <f t="shared" si="39"/>
        <v>0</v>
      </c>
      <c r="AR37" s="31">
        <v>0.1</v>
      </c>
      <c r="AS37" s="21">
        <f t="shared" si="29"/>
        <v>0.10637166258908626</v>
      </c>
      <c r="AT37" s="23">
        <f t="shared" si="40"/>
        <v>0</v>
      </c>
      <c r="AU37" s="5"/>
      <c r="AV37" s="5"/>
    </row>
    <row r="38" spans="1:48" ht="14.25" customHeight="1">
      <c r="A38" s="1" t="s">
        <v>35</v>
      </c>
      <c r="B38" s="27">
        <v>6.33</v>
      </c>
      <c r="C38" s="21">
        <f t="shared" si="15"/>
        <v>6.7426501917341293</v>
      </c>
      <c r="D38" s="21">
        <f t="shared" si="0"/>
        <v>0</v>
      </c>
      <c r="E38" s="27">
        <v>5.99</v>
      </c>
      <c r="F38" s="21">
        <f t="shared" si="16"/>
        <v>6.4016244522817143</v>
      </c>
      <c r="G38" s="21">
        <f t="shared" si="30"/>
        <v>0</v>
      </c>
      <c r="H38" s="27">
        <v>6.89</v>
      </c>
      <c r="I38" s="21">
        <f t="shared" si="17"/>
        <v>7.4341821320673276</v>
      </c>
      <c r="J38" s="21">
        <f t="shared" si="2"/>
        <v>0</v>
      </c>
      <c r="K38" s="27">
        <v>12.42</v>
      </c>
      <c r="L38" s="21">
        <f t="shared" si="18"/>
        <v>13.398058252427184</v>
      </c>
      <c r="M38" s="21">
        <f t="shared" si="3"/>
        <v>0</v>
      </c>
      <c r="N38" s="27">
        <v>5.03</v>
      </c>
      <c r="O38" s="21">
        <f t="shared" si="19"/>
        <v>5.3969957081545061</v>
      </c>
      <c r="P38" s="21">
        <f t="shared" si="4"/>
        <v>0</v>
      </c>
      <c r="Q38" s="27">
        <v>8.2200000000000006</v>
      </c>
      <c r="R38" s="21">
        <f t="shared" si="20"/>
        <v>8.809345193441219</v>
      </c>
      <c r="S38" s="21">
        <f t="shared" si="31"/>
        <v>0</v>
      </c>
      <c r="T38" s="27">
        <v>3.98</v>
      </c>
      <c r="U38" s="21">
        <f t="shared" si="21"/>
        <v>4.279569892473118</v>
      </c>
      <c r="V38" s="21">
        <f t="shared" si="32"/>
        <v>0</v>
      </c>
      <c r="W38" s="33">
        <v>4.58</v>
      </c>
      <c r="X38" s="22">
        <f t="shared" si="22"/>
        <v>4.5873397435897436</v>
      </c>
      <c r="Y38" s="22">
        <f t="shared" si="33"/>
        <v>0</v>
      </c>
      <c r="Z38" s="27">
        <v>6.92</v>
      </c>
      <c r="AA38" s="21">
        <f t="shared" si="23"/>
        <v>7.4625256119918042</v>
      </c>
      <c r="AB38" s="21">
        <f t="shared" si="34"/>
        <v>0</v>
      </c>
      <c r="AC38" s="27">
        <v>6</v>
      </c>
      <c r="AD38" s="21">
        <f t="shared" si="24"/>
        <v>6.4871878040869291</v>
      </c>
      <c r="AE38" s="21">
        <f t="shared" si="35"/>
        <v>0</v>
      </c>
      <c r="AF38" s="27">
        <v>4.7</v>
      </c>
      <c r="AG38" s="21">
        <f t="shared" si="25"/>
        <v>5.0440008585533374</v>
      </c>
      <c r="AH38" s="21" t="e">
        <f>((#REF!*50*AF$54/AF$26)/AF$55)*100</f>
        <v>#REF!</v>
      </c>
      <c r="AI38" s="27">
        <v>3.15</v>
      </c>
      <c r="AJ38" s="21">
        <f t="shared" si="26"/>
        <v>3.3625106746370621</v>
      </c>
      <c r="AK38" s="21">
        <f t="shared" si="37"/>
        <v>0</v>
      </c>
      <c r="AL38" s="35">
        <v>4.18</v>
      </c>
      <c r="AM38" s="21">
        <f t="shared" si="27"/>
        <v>4.5341143291029393</v>
      </c>
      <c r="AN38" s="23">
        <f t="shared" si="38"/>
        <v>0</v>
      </c>
      <c r="AO38" s="31">
        <v>9.58</v>
      </c>
      <c r="AP38" s="21">
        <f t="shared" si="28"/>
        <v>10.467657342657343</v>
      </c>
      <c r="AQ38" s="23">
        <f t="shared" si="39"/>
        <v>0</v>
      </c>
      <c r="AR38" s="31">
        <v>3.91</v>
      </c>
      <c r="AS38" s="21">
        <f t="shared" si="29"/>
        <v>4.1591320072332731</v>
      </c>
      <c r="AT38" s="23">
        <f t="shared" si="40"/>
        <v>0</v>
      </c>
      <c r="AU38" s="5"/>
      <c r="AV38" s="5"/>
    </row>
    <row r="39" spans="1:48" ht="14.25" customHeight="1">
      <c r="A39" s="1" t="s">
        <v>36</v>
      </c>
      <c r="B39" s="27">
        <v>0.23</v>
      </c>
      <c r="C39" s="21">
        <f t="shared" si="15"/>
        <v>0.2449936088623775</v>
      </c>
      <c r="D39" s="21">
        <f t="shared" si="0"/>
        <v>0</v>
      </c>
      <c r="E39" s="27">
        <v>0.22</v>
      </c>
      <c r="F39" s="21">
        <f t="shared" si="16"/>
        <v>0.23511809340600623</v>
      </c>
      <c r="G39" s="21">
        <f t="shared" si="30"/>
        <v>0</v>
      </c>
      <c r="H39" s="27">
        <v>0.26</v>
      </c>
      <c r="I39" s="21">
        <f t="shared" si="17"/>
        <v>0.28053517479499351</v>
      </c>
      <c r="J39" s="21">
        <f t="shared" si="2"/>
        <v>0</v>
      </c>
      <c r="K39" s="27">
        <v>0.37</v>
      </c>
      <c r="L39" s="21">
        <f t="shared" si="18"/>
        <v>0.39913700107874867</v>
      </c>
      <c r="M39" s="21">
        <f t="shared" si="3"/>
        <v>0</v>
      </c>
      <c r="N39" s="27">
        <v>0.28000000000000003</v>
      </c>
      <c r="O39" s="21">
        <f t="shared" si="19"/>
        <v>0.30042918454935624</v>
      </c>
      <c r="P39" s="21">
        <f t="shared" si="4"/>
        <v>0</v>
      </c>
      <c r="Q39" s="27">
        <v>0.61</v>
      </c>
      <c r="R39" s="21">
        <f t="shared" si="20"/>
        <v>0.65373486228700028</v>
      </c>
      <c r="S39" s="21" t="e">
        <f>((#REF!*50*Q$54/Q$26)/Q$55)*100</f>
        <v>#REF!</v>
      </c>
      <c r="T39" s="27">
        <v>0.36</v>
      </c>
      <c r="U39" s="21">
        <f t="shared" si="21"/>
        <v>0.38709677419354838</v>
      </c>
      <c r="V39" s="21">
        <f t="shared" si="32"/>
        <v>0</v>
      </c>
      <c r="W39" s="33">
        <v>0.43</v>
      </c>
      <c r="X39" s="22">
        <f t="shared" si="22"/>
        <v>0.43068910256410253</v>
      </c>
      <c r="Y39" s="22">
        <f t="shared" si="33"/>
        <v>0</v>
      </c>
      <c r="Z39" s="27">
        <v>0.62</v>
      </c>
      <c r="AA39" s="21">
        <f t="shared" si="23"/>
        <v>0.66860778604550841</v>
      </c>
      <c r="AB39" s="21">
        <f t="shared" si="34"/>
        <v>0</v>
      </c>
      <c r="AC39" s="27">
        <v>0.76</v>
      </c>
      <c r="AD39" s="21">
        <f t="shared" si="24"/>
        <v>0.82171045518434427</v>
      </c>
      <c r="AE39" s="21">
        <f t="shared" si="35"/>
        <v>0</v>
      </c>
      <c r="AF39" s="27">
        <v>0.67</v>
      </c>
      <c r="AG39" s="21">
        <f t="shared" si="25"/>
        <v>0.71903842026185871</v>
      </c>
      <c r="AH39" s="21">
        <f t="shared" si="36"/>
        <v>0</v>
      </c>
      <c r="AI39" s="27">
        <v>0.46</v>
      </c>
      <c r="AJ39" s="21">
        <f t="shared" si="26"/>
        <v>0.49103330486763447</v>
      </c>
      <c r="AK39" s="21">
        <f t="shared" si="37"/>
        <v>0</v>
      </c>
      <c r="AL39" s="35">
        <v>0.54</v>
      </c>
      <c r="AM39" s="21">
        <f t="shared" si="27"/>
        <v>0.58574682720468596</v>
      </c>
      <c r="AN39" s="23">
        <f t="shared" si="38"/>
        <v>0</v>
      </c>
      <c r="AO39" s="31">
        <v>1.25</v>
      </c>
      <c r="AP39" s="21">
        <f t="shared" si="28"/>
        <v>1.3658216783216783</v>
      </c>
      <c r="AQ39" s="23">
        <f t="shared" si="39"/>
        <v>0</v>
      </c>
      <c r="AR39" s="31">
        <v>0.4</v>
      </c>
      <c r="AS39" s="21">
        <f t="shared" si="29"/>
        <v>0.42548665035634503</v>
      </c>
      <c r="AT39" s="23">
        <f t="shared" si="40"/>
        <v>0</v>
      </c>
      <c r="AU39" s="5"/>
      <c r="AV39" s="5"/>
    </row>
    <row r="40" spans="1:48" ht="14.25" customHeight="1">
      <c r="A40" s="8" t="s">
        <v>37</v>
      </c>
      <c r="B40" s="27">
        <v>0</v>
      </c>
      <c r="C40" s="21">
        <f t="shared" si="15"/>
        <v>0</v>
      </c>
      <c r="D40" s="21">
        <f t="shared" si="0"/>
        <v>0</v>
      </c>
      <c r="E40" s="27">
        <v>0</v>
      </c>
      <c r="F40" s="21">
        <f t="shared" si="16"/>
        <v>0</v>
      </c>
      <c r="G40" s="21">
        <f t="shared" si="30"/>
        <v>0</v>
      </c>
      <c r="H40" s="27">
        <v>0.13</v>
      </c>
      <c r="I40" s="21">
        <f t="shared" si="17"/>
        <v>0.14026758739749676</v>
      </c>
      <c r="J40" s="21">
        <f t="shared" si="2"/>
        <v>0</v>
      </c>
      <c r="K40" s="27">
        <v>0.21</v>
      </c>
      <c r="L40" s="21">
        <f t="shared" si="18"/>
        <v>0.22653721682847897</v>
      </c>
      <c r="M40" s="21">
        <f t="shared" si="3"/>
        <v>0</v>
      </c>
      <c r="N40" s="27">
        <v>0</v>
      </c>
      <c r="O40" s="21">
        <f t="shared" si="19"/>
        <v>0</v>
      </c>
      <c r="P40" s="21">
        <f t="shared" si="4"/>
        <v>0</v>
      </c>
      <c r="Q40" s="27">
        <v>0</v>
      </c>
      <c r="R40" s="21">
        <f t="shared" si="20"/>
        <v>0</v>
      </c>
      <c r="S40" s="21" t="e">
        <f>((#REF!*50*Q$54/Q$26)/Q$55)*100</f>
        <v>#REF!</v>
      </c>
      <c r="T40" s="27">
        <v>0</v>
      </c>
      <c r="U40" s="21">
        <f t="shared" si="21"/>
        <v>0</v>
      </c>
      <c r="V40" s="21">
        <f t="shared" si="32"/>
        <v>0</v>
      </c>
      <c r="W40" s="33">
        <v>0</v>
      </c>
      <c r="X40" s="22">
        <f t="shared" si="22"/>
        <v>0</v>
      </c>
      <c r="Y40" s="22">
        <f t="shared" si="33"/>
        <v>0</v>
      </c>
      <c r="Z40" s="27">
        <v>0</v>
      </c>
      <c r="AA40" s="21">
        <f t="shared" si="23"/>
        <v>0</v>
      </c>
      <c r="AB40" s="21">
        <f t="shared" si="34"/>
        <v>0</v>
      </c>
      <c r="AC40" s="27">
        <v>0.14000000000000001</v>
      </c>
      <c r="AD40" s="21">
        <f t="shared" si="24"/>
        <v>0.15136771542869501</v>
      </c>
      <c r="AE40" s="21">
        <f t="shared" si="35"/>
        <v>0</v>
      </c>
      <c r="AF40" s="27">
        <v>0.11</v>
      </c>
      <c r="AG40" s="21">
        <f t="shared" si="25"/>
        <v>0.11805108392358875</v>
      </c>
      <c r="AH40" s="21">
        <f t="shared" si="36"/>
        <v>0</v>
      </c>
      <c r="AI40" s="27"/>
      <c r="AJ40" s="21">
        <f t="shared" si="26"/>
        <v>0</v>
      </c>
      <c r="AK40" s="21">
        <f t="shared" si="37"/>
        <v>0</v>
      </c>
      <c r="AL40" s="35">
        <v>0</v>
      </c>
      <c r="AM40" s="21">
        <f t="shared" si="27"/>
        <v>0</v>
      </c>
      <c r="AN40" s="23">
        <f t="shared" si="38"/>
        <v>0</v>
      </c>
      <c r="AO40" s="31">
        <v>0</v>
      </c>
      <c r="AP40" s="21">
        <f t="shared" si="28"/>
        <v>0</v>
      </c>
      <c r="AQ40" s="23">
        <f t="shared" si="39"/>
        <v>0</v>
      </c>
      <c r="AR40" s="31">
        <v>0</v>
      </c>
      <c r="AS40" s="21">
        <f t="shared" si="29"/>
        <v>0</v>
      </c>
      <c r="AT40" s="23">
        <f t="shared" si="40"/>
        <v>0</v>
      </c>
      <c r="AU40" s="5"/>
      <c r="AV40" s="5"/>
    </row>
    <row r="41" spans="1:48" ht="14" customHeight="1">
      <c r="A41" s="8" t="s">
        <v>86</v>
      </c>
      <c r="B41" s="27">
        <v>0</v>
      </c>
      <c r="C41" s="21">
        <f t="shared" si="15"/>
        <v>0</v>
      </c>
      <c r="D41" s="21">
        <f t="shared" si="0"/>
        <v>0</v>
      </c>
      <c r="E41" s="27">
        <v>0</v>
      </c>
      <c r="F41" s="21">
        <f t="shared" si="16"/>
        <v>0</v>
      </c>
      <c r="G41" s="21">
        <f t="shared" si="30"/>
        <v>0</v>
      </c>
      <c r="H41" s="27">
        <v>0</v>
      </c>
      <c r="I41" s="21">
        <f t="shared" si="17"/>
        <v>0</v>
      </c>
      <c r="J41" s="21">
        <f t="shared" si="2"/>
        <v>0</v>
      </c>
      <c r="K41" s="27">
        <v>0</v>
      </c>
      <c r="L41" s="21">
        <f t="shared" si="18"/>
        <v>0</v>
      </c>
      <c r="M41" s="21">
        <f t="shared" si="3"/>
        <v>0</v>
      </c>
      <c r="N41" s="27">
        <v>0.1</v>
      </c>
      <c r="O41" s="21">
        <f t="shared" si="19"/>
        <v>0.1072961373390558</v>
      </c>
      <c r="P41" s="21">
        <f t="shared" si="4"/>
        <v>0</v>
      </c>
      <c r="Q41" s="27">
        <v>0</v>
      </c>
      <c r="R41" s="21">
        <f t="shared" si="20"/>
        <v>0</v>
      </c>
      <c r="S41" s="21">
        <f t="shared" si="31"/>
        <v>0</v>
      </c>
      <c r="T41" s="27">
        <v>0</v>
      </c>
      <c r="U41" s="21">
        <f t="shared" si="21"/>
        <v>0</v>
      </c>
      <c r="V41" s="21">
        <f t="shared" si="32"/>
        <v>0</v>
      </c>
      <c r="W41" s="33">
        <v>0</v>
      </c>
      <c r="X41" s="22">
        <f t="shared" si="22"/>
        <v>0</v>
      </c>
      <c r="Y41" s="22">
        <f t="shared" si="33"/>
        <v>0</v>
      </c>
      <c r="Z41" s="27">
        <v>0</v>
      </c>
      <c r="AA41" s="21">
        <f t="shared" si="23"/>
        <v>0</v>
      </c>
      <c r="AB41" s="21">
        <f t="shared" si="34"/>
        <v>0</v>
      </c>
      <c r="AC41" s="27">
        <v>0</v>
      </c>
      <c r="AD41" s="21">
        <f t="shared" si="24"/>
        <v>0</v>
      </c>
      <c r="AE41" s="21">
        <f t="shared" si="35"/>
        <v>0</v>
      </c>
      <c r="AF41" s="27">
        <v>0</v>
      </c>
      <c r="AG41" s="21">
        <f t="shared" si="25"/>
        <v>0</v>
      </c>
      <c r="AH41" s="21">
        <f t="shared" si="36"/>
        <v>0</v>
      </c>
      <c r="AI41" s="27">
        <v>0</v>
      </c>
      <c r="AJ41" s="21">
        <f t="shared" si="26"/>
        <v>0</v>
      </c>
      <c r="AK41" s="21">
        <f t="shared" si="37"/>
        <v>0</v>
      </c>
      <c r="AL41" s="35">
        <v>0</v>
      </c>
      <c r="AM41" s="21">
        <f t="shared" si="27"/>
        <v>0</v>
      </c>
      <c r="AN41" s="23">
        <f t="shared" si="38"/>
        <v>0</v>
      </c>
      <c r="AO41" s="31">
        <v>0</v>
      </c>
      <c r="AP41" s="21">
        <f t="shared" si="28"/>
        <v>0</v>
      </c>
      <c r="AQ41" s="23">
        <f t="shared" si="39"/>
        <v>0</v>
      </c>
      <c r="AR41" s="31">
        <v>0</v>
      </c>
      <c r="AS41" s="21">
        <f t="shared" si="29"/>
        <v>0</v>
      </c>
      <c r="AT41" s="23">
        <f t="shared" si="40"/>
        <v>0</v>
      </c>
      <c r="AU41" s="5"/>
      <c r="AV41" s="5"/>
    </row>
    <row r="42" spans="1:48" ht="14.25" customHeight="1">
      <c r="A42" s="8" t="s">
        <v>38</v>
      </c>
      <c r="B42" s="27">
        <v>0</v>
      </c>
      <c r="C42" s="21">
        <f t="shared" si="15"/>
        <v>0</v>
      </c>
      <c r="D42" s="21">
        <f t="shared" si="0"/>
        <v>0</v>
      </c>
      <c r="E42" s="27">
        <v>0</v>
      </c>
      <c r="F42" s="21">
        <f t="shared" si="16"/>
        <v>0</v>
      </c>
      <c r="G42" s="21">
        <f t="shared" si="30"/>
        <v>0</v>
      </c>
      <c r="H42" s="27">
        <v>0</v>
      </c>
      <c r="I42" s="21">
        <f t="shared" si="17"/>
        <v>0</v>
      </c>
      <c r="J42" s="21">
        <f t="shared" si="2"/>
        <v>0</v>
      </c>
      <c r="K42" s="27">
        <v>0</v>
      </c>
      <c r="L42" s="21">
        <f t="shared" si="18"/>
        <v>0</v>
      </c>
      <c r="M42" s="21">
        <f t="shared" si="3"/>
        <v>0</v>
      </c>
      <c r="N42" s="27">
        <v>0</v>
      </c>
      <c r="O42" s="21">
        <f t="shared" si="19"/>
        <v>0</v>
      </c>
      <c r="P42" s="21">
        <f t="shared" si="4"/>
        <v>0</v>
      </c>
      <c r="Q42" s="27">
        <v>0</v>
      </c>
      <c r="R42" s="21">
        <f t="shared" si="20"/>
        <v>0</v>
      </c>
      <c r="S42" s="21">
        <f t="shared" si="31"/>
        <v>0</v>
      </c>
      <c r="T42" s="27">
        <v>0</v>
      </c>
      <c r="U42" s="21">
        <f t="shared" si="21"/>
        <v>0</v>
      </c>
      <c r="V42" s="21">
        <f t="shared" si="32"/>
        <v>0</v>
      </c>
      <c r="W42" s="33">
        <v>0</v>
      </c>
      <c r="X42" s="22">
        <f t="shared" si="22"/>
        <v>0</v>
      </c>
      <c r="Y42" s="22">
        <f t="shared" si="33"/>
        <v>0</v>
      </c>
      <c r="Z42" s="27">
        <v>0</v>
      </c>
      <c r="AA42" s="21">
        <f t="shared" si="23"/>
        <v>0</v>
      </c>
      <c r="AB42" s="21">
        <f t="shared" si="34"/>
        <v>0</v>
      </c>
      <c r="AC42" s="27">
        <v>0</v>
      </c>
      <c r="AD42" s="21">
        <f t="shared" si="24"/>
        <v>0</v>
      </c>
      <c r="AE42" s="21">
        <f t="shared" si="35"/>
        <v>0</v>
      </c>
      <c r="AF42" s="27">
        <v>0</v>
      </c>
      <c r="AG42" s="21">
        <f t="shared" si="25"/>
        <v>0</v>
      </c>
      <c r="AH42" s="21">
        <f t="shared" si="36"/>
        <v>0</v>
      </c>
      <c r="AI42" s="27">
        <v>0</v>
      </c>
      <c r="AJ42" s="21">
        <f t="shared" si="26"/>
        <v>0</v>
      </c>
      <c r="AK42" s="21">
        <f t="shared" si="37"/>
        <v>0</v>
      </c>
      <c r="AL42" s="35">
        <v>0</v>
      </c>
      <c r="AM42" s="21">
        <f t="shared" si="27"/>
        <v>0</v>
      </c>
      <c r="AN42" s="23">
        <f t="shared" si="38"/>
        <v>0</v>
      </c>
      <c r="AO42" s="31">
        <v>0</v>
      </c>
      <c r="AP42" s="21">
        <f t="shared" si="28"/>
        <v>0</v>
      </c>
      <c r="AQ42" s="23">
        <f t="shared" si="39"/>
        <v>0</v>
      </c>
      <c r="AR42" s="31">
        <v>0</v>
      </c>
      <c r="AS42" s="21">
        <f t="shared" si="29"/>
        <v>0</v>
      </c>
      <c r="AT42" s="23">
        <f t="shared" si="40"/>
        <v>0</v>
      </c>
      <c r="AU42" s="5"/>
      <c r="AV42" s="5"/>
    </row>
    <row r="43" spans="1:48" ht="14.25" customHeight="1">
      <c r="A43" s="8" t="s">
        <v>39</v>
      </c>
      <c r="B43" s="27">
        <v>0</v>
      </c>
      <c r="C43" s="21">
        <f t="shared" si="15"/>
        <v>0</v>
      </c>
      <c r="D43" s="21">
        <f t="shared" si="0"/>
        <v>0</v>
      </c>
      <c r="E43" s="27">
        <v>0</v>
      </c>
      <c r="F43" s="21">
        <f t="shared" si="16"/>
        <v>0</v>
      </c>
      <c r="G43" s="21">
        <f t="shared" si="30"/>
        <v>0</v>
      </c>
      <c r="H43" s="27">
        <v>0</v>
      </c>
      <c r="I43" s="21">
        <f t="shared" si="17"/>
        <v>0</v>
      </c>
      <c r="J43" s="21">
        <v>0</v>
      </c>
      <c r="K43" s="27">
        <v>0</v>
      </c>
      <c r="L43" s="21">
        <f t="shared" si="18"/>
        <v>0</v>
      </c>
      <c r="M43" s="21">
        <v>0</v>
      </c>
      <c r="N43" s="27">
        <v>0</v>
      </c>
      <c r="O43" s="21">
        <f t="shared" si="19"/>
        <v>0</v>
      </c>
      <c r="P43" s="21">
        <f t="shared" si="4"/>
        <v>0</v>
      </c>
      <c r="Q43" s="27">
        <v>0</v>
      </c>
      <c r="R43" s="21">
        <f t="shared" si="20"/>
        <v>0</v>
      </c>
      <c r="S43" s="21">
        <v>0</v>
      </c>
      <c r="T43" s="27">
        <v>0</v>
      </c>
      <c r="U43" s="21">
        <f t="shared" si="21"/>
        <v>0</v>
      </c>
      <c r="V43" s="21">
        <v>0</v>
      </c>
      <c r="W43" s="33">
        <v>0</v>
      </c>
      <c r="X43" s="22">
        <f t="shared" si="22"/>
        <v>0</v>
      </c>
      <c r="Y43" s="22">
        <v>0</v>
      </c>
      <c r="Z43" s="27">
        <v>0</v>
      </c>
      <c r="AA43" s="21">
        <f t="shared" si="23"/>
        <v>0</v>
      </c>
      <c r="AB43" s="21">
        <f t="shared" si="34"/>
        <v>0</v>
      </c>
      <c r="AC43" s="27">
        <v>0</v>
      </c>
      <c r="AD43" s="21">
        <f t="shared" si="24"/>
        <v>0</v>
      </c>
      <c r="AE43" s="21">
        <f t="shared" si="35"/>
        <v>0</v>
      </c>
      <c r="AF43" s="27">
        <v>0</v>
      </c>
      <c r="AG43" s="21">
        <f t="shared" si="25"/>
        <v>0</v>
      </c>
      <c r="AH43" s="21">
        <v>0</v>
      </c>
      <c r="AI43" s="27">
        <v>0</v>
      </c>
      <c r="AJ43" s="21">
        <f t="shared" si="26"/>
        <v>0</v>
      </c>
      <c r="AK43" s="21">
        <f t="shared" si="37"/>
        <v>0</v>
      </c>
      <c r="AL43" s="35">
        <v>0</v>
      </c>
      <c r="AM43" s="21">
        <f t="shared" si="27"/>
        <v>0</v>
      </c>
      <c r="AN43" s="23">
        <f t="shared" si="38"/>
        <v>0</v>
      </c>
      <c r="AO43" s="31">
        <v>0</v>
      </c>
      <c r="AP43" s="21">
        <f t="shared" si="28"/>
        <v>0</v>
      </c>
      <c r="AQ43" s="23">
        <v>0</v>
      </c>
      <c r="AR43" s="31">
        <v>0</v>
      </c>
      <c r="AS43" s="21">
        <f t="shared" si="29"/>
        <v>0</v>
      </c>
      <c r="AT43" s="23">
        <f t="shared" si="40"/>
        <v>0</v>
      </c>
      <c r="AU43" s="5"/>
      <c r="AV43" s="5"/>
    </row>
    <row r="44" spans="1:48" ht="14.25" customHeight="1">
      <c r="A44" s="8" t="s">
        <v>40</v>
      </c>
      <c r="B44" s="27">
        <v>0.9</v>
      </c>
      <c r="C44" s="21">
        <f t="shared" si="15"/>
        <v>0.95867064337452068</v>
      </c>
      <c r="D44" s="21">
        <f t="shared" si="0"/>
        <v>0</v>
      </c>
      <c r="E44" s="27">
        <v>0.94</v>
      </c>
      <c r="F44" s="21">
        <f t="shared" si="16"/>
        <v>1.0045954900074812</v>
      </c>
      <c r="G44" s="21">
        <f t="shared" ref="G44:G50" si="41">((E44*50*E$54/E$26)/E$55)*100</f>
        <v>0</v>
      </c>
      <c r="H44" s="27">
        <v>1.1100000000000001</v>
      </c>
      <c r="I44" s="21">
        <f t="shared" si="17"/>
        <v>1.1976694000863186</v>
      </c>
      <c r="J44" s="21">
        <f t="shared" ref="J44:J50" si="42">((H44*50*H$54/H$26)/H$55)*100</f>
        <v>0</v>
      </c>
      <c r="K44" s="27">
        <v>2.15</v>
      </c>
      <c r="L44" s="21">
        <f t="shared" si="18"/>
        <v>2.319309600862999</v>
      </c>
      <c r="M44" s="21">
        <f t="shared" ref="M44:M50" si="43">((K44*50*K$54/K$26)/K$55)*100</f>
        <v>0</v>
      </c>
      <c r="N44" s="27">
        <v>0.83</v>
      </c>
      <c r="O44" s="21">
        <f t="shared" si="19"/>
        <v>0.8905579399141631</v>
      </c>
      <c r="P44" s="21">
        <f t="shared" si="4"/>
        <v>0</v>
      </c>
      <c r="Q44" s="27">
        <v>1.02</v>
      </c>
      <c r="R44" s="21">
        <f t="shared" si="20"/>
        <v>1.0931304254635088</v>
      </c>
      <c r="S44" s="21">
        <f t="shared" ref="S44:S50" si="44">((Q44*50*Q$54/Q$26)/Q$55)*100</f>
        <v>0</v>
      </c>
      <c r="T44" s="27">
        <v>0.56999999999999995</v>
      </c>
      <c r="U44" s="21">
        <f t="shared" si="21"/>
        <v>0.61290322580645151</v>
      </c>
      <c r="V44" s="21">
        <f t="shared" ref="V44:V50" si="45">((T44*50*T$54/T$26)/T$55)*100</f>
        <v>0</v>
      </c>
      <c r="W44" s="33">
        <v>0.66</v>
      </c>
      <c r="X44" s="22">
        <f t="shared" si="22"/>
        <v>0.66105769230769229</v>
      </c>
      <c r="Y44" s="22">
        <f t="shared" ref="Y44:Y50" si="46">((W44*50*W$54/W$26)/W$55)*100</f>
        <v>0</v>
      </c>
      <c r="Z44" s="27">
        <v>0.73</v>
      </c>
      <c r="AA44" s="21">
        <f t="shared" si="23"/>
        <v>0.78723174808584062</v>
      </c>
      <c r="AB44" s="21">
        <f t="shared" ref="AB44:AB50" si="47">((Z44*50*Z$54/Z$26)/Z$55)*100</f>
        <v>0</v>
      </c>
      <c r="AC44" s="27">
        <v>0.8</v>
      </c>
      <c r="AD44" s="21">
        <f t="shared" si="24"/>
        <v>0.86495837387825714</v>
      </c>
      <c r="AE44" s="21">
        <f t="shared" ref="AE44:AE50" si="48">((AC44*50*AC$54/AC$26)/AC$55)*100</f>
        <v>0</v>
      </c>
      <c r="AF44" s="27">
        <v>0.66</v>
      </c>
      <c r="AG44" s="21">
        <f t="shared" si="25"/>
        <v>0.70830650354153246</v>
      </c>
      <c r="AH44" s="21">
        <f t="shared" ref="AH44:AH50" si="49">((AF44*50*AF$54/AF$26)/AF$55)*100</f>
        <v>0</v>
      </c>
      <c r="AI44" s="27">
        <v>0.41</v>
      </c>
      <c r="AJ44" s="21">
        <f t="shared" si="26"/>
        <v>0.43766011955593509</v>
      </c>
      <c r="AK44" s="21">
        <f t="shared" ref="AK44:AK50" si="50">((AI44*50*AI$54/AI$26)/AI$55)*100</f>
        <v>0</v>
      </c>
      <c r="AL44" s="35">
        <v>0.61</v>
      </c>
      <c r="AM44" s="21">
        <f t="shared" si="27"/>
        <v>0.66167697147196014</v>
      </c>
      <c r="AN44" s="23">
        <f t="shared" ref="AN44:AN50" si="51">((AL44*50*AL$54/AL$26)/AL$55)*100</f>
        <v>0</v>
      </c>
      <c r="AO44" s="31">
        <v>1.29</v>
      </c>
      <c r="AP44" s="21">
        <f t="shared" si="28"/>
        <v>1.4095279720279721</v>
      </c>
      <c r="AQ44" s="23">
        <f t="shared" ref="AQ44:AQ50" si="52">((AO44*50*AO$54/AO$26)/AO$55)*100</f>
        <v>0</v>
      </c>
      <c r="AR44" s="31">
        <v>0.55000000000000004</v>
      </c>
      <c r="AS44" s="21">
        <f t="shared" si="29"/>
        <v>0.58504414423997453</v>
      </c>
      <c r="AT44" s="23">
        <f t="shared" ref="AT44:AT50" si="53">((AR44*50*AR$54/AR$26)/AR$55)*100</f>
        <v>0</v>
      </c>
      <c r="AU44" s="5"/>
      <c r="AV44" s="5"/>
    </row>
    <row r="45" spans="1:48" ht="14.25" customHeight="1">
      <c r="A45" s="8" t="s">
        <v>41</v>
      </c>
      <c r="B45" s="27">
        <v>0.28999999999999998</v>
      </c>
      <c r="C45" s="21">
        <f t="shared" si="15"/>
        <v>0.30890498508734554</v>
      </c>
      <c r="D45" s="21">
        <f t="shared" si="0"/>
        <v>0</v>
      </c>
      <c r="E45" s="27">
        <v>0.26</v>
      </c>
      <c r="F45" s="21">
        <f t="shared" si="16"/>
        <v>0.27786683766164372</v>
      </c>
      <c r="G45" s="21">
        <f t="shared" si="41"/>
        <v>0</v>
      </c>
      <c r="H45" s="27">
        <v>0.24</v>
      </c>
      <c r="I45" s="21">
        <f t="shared" si="17"/>
        <v>0.2589555459646094</v>
      </c>
      <c r="J45" s="21">
        <f t="shared" si="42"/>
        <v>0</v>
      </c>
      <c r="K45" s="27">
        <v>0.69</v>
      </c>
      <c r="L45" s="21">
        <f t="shared" si="18"/>
        <v>0.74433656957928795</v>
      </c>
      <c r="M45" s="21">
        <f t="shared" si="43"/>
        <v>0</v>
      </c>
      <c r="N45" s="27">
        <v>0.24</v>
      </c>
      <c r="O45" s="21">
        <f t="shared" si="19"/>
        <v>0.25751072961373389</v>
      </c>
      <c r="P45" s="21">
        <f t="shared" si="4"/>
        <v>0</v>
      </c>
      <c r="Q45" s="27">
        <v>0.39</v>
      </c>
      <c r="R45" s="21">
        <f t="shared" si="20"/>
        <v>0.41796163326545921</v>
      </c>
      <c r="S45" s="21">
        <f t="shared" si="44"/>
        <v>0</v>
      </c>
      <c r="T45" s="27">
        <v>0.17</v>
      </c>
      <c r="U45" s="21">
        <f t="shared" si="21"/>
        <v>0.18279569892473119</v>
      </c>
      <c r="V45" s="21">
        <f t="shared" si="45"/>
        <v>0</v>
      </c>
      <c r="W45" s="33">
        <v>0.2</v>
      </c>
      <c r="X45" s="22">
        <f t="shared" si="22"/>
        <v>0.2003205128205128</v>
      </c>
      <c r="Y45" s="22">
        <f t="shared" si="46"/>
        <v>0</v>
      </c>
      <c r="Z45" s="27">
        <v>0.23</v>
      </c>
      <c r="AA45" s="21">
        <f t="shared" si="23"/>
        <v>0.24803192062978538</v>
      </c>
      <c r="AB45" s="21">
        <f t="shared" si="47"/>
        <v>0</v>
      </c>
      <c r="AC45" s="27">
        <v>0.23</v>
      </c>
      <c r="AD45" s="21">
        <f t="shared" si="24"/>
        <v>0.24867553248999894</v>
      </c>
      <c r="AE45" s="21">
        <f t="shared" si="48"/>
        <v>0</v>
      </c>
      <c r="AF45" s="27">
        <v>0.17</v>
      </c>
      <c r="AG45" s="21">
        <f t="shared" si="25"/>
        <v>0.18244258424554624</v>
      </c>
      <c r="AH45" s="21">
        <f t="shared" si="49"/>
        <v>0</v>
      </c>
      <c r="AI45" s="27">
        <v>0.1</v>
      </c>
      <c r="AJ45" s="21">
        <f t="shared" si="26"/>
        <v>0.1067463706233988</v>
      </c>
      <c r="AK45" s="21">
        <f t="shared" si="50"/>
        <v>0</v>
      </c>
      <c r="AL45" s="35">
        <v>0.15</v>
      </c>
      <c r="AM45" s="21">
        <f t="shared" si="27"/>
        <v>0.16270745200130166</v>
      </c>
      <c r="AN45" s="23">
        <f t="shared" si="51"/>
        <v>0</v>
      </c>
      <c r="AO45" s="31">
        <v>0.39</v>
      </c>
      <c r="AP45" s="21">
        <f t="shared" si="28"/>
        <v>0.42613636363636365</v>
      </c>
      <c r="AQ45" s="23">
        <f t="shared" si="52"/>
        <v>0</v>
      </c>
      <c r="AR45" s="31">
        <v>0.13</v>
      </c>
      <c r="AS45" s="21">
        <f t="shared" si="29"/>
        <v>0.13828316136581215</v>
      </c>
      <c r="AT45" s="23">
        <f t="shared" si="53"/>
        <v>0</v>
      </c>
      <c r="AU45" s="5"/>
      <c r="AV45" s="5"/>
    </row>
    <row r="46" spans="1:48" ht="14.25" customHeight="1">
      <c r="A46" s="8" t="s">
        <v>42</v>
      </c>
      <c r="B46" s="27">
        <v>0.87</v>
      </c>
      <c r="C46" s="21">
        <f t="shared" si="15"/>
        <v>0.92671495526203673</v>
      </c>
      <c r="D46" s="21">
        <f t="shared" si="0"/>
        <v>0</v>
      </c>
      <c r="E46" s="27">
        <v>0.9</v>
      </c>
      <c r="F46" s="21">
        <f t="shared" si="16"/>
        <v>0.96184674575184359</v>
      </c>
      <c r="G46" s="21">
        <f t="shared" si="41"/>
        <v>0</v>
      </c>
      <c r="H46" s="27">
        <v>1.02</v>
      </c>
      <c r="I46" s="21">
        <f t="shared" si="17"/>
        <v>1.1005610703495898</v>
      </c>
      <c r="J46" s="21">
        <f t="shared" si="42"/>
        <v>0</v>
      </c>
      <c r="K46" s="27">
        <v>1.34</v>
      </c>
      <c r="L46" s="21">
        <f t="shared" si="18"/>
        <v>1.4455231930960086</v>
      </c>
      <c r="M46" s="21">
        <f t="shared" si="43"/>
        <v>0</v>
      </c>
      <c r="N46" s="27">
        <v>0.66</v>
      </c>
      <c r="O46" s="21">
        <f t="shared" si="19"/>
        <v>0.70815450643776823</v>
      </c>
      <c r="P46" s="21">
        <f t="shared" si="4"/>
        <v>0</v>
      </c>
      <c r="Q46" s="27">
        <v>1.34</v>
      </c>
      <c r="R46" s="21">
        <f t="shared" si="20"/>
        <v>1.4360733040402958</v>
      </c>
      <c r="S46" s="21">
        <f t="shared" si="44"/>
        <v>0</v>
      </c>
      <c r="T46" s="27">
        <v>0.83</v>
      </c>
      <c r="U46" s="21">
        <f t="shared" si="21"/>
        <v>0.89247311827956988</v>
      </c>
      <c r="V46" s="21">
        <f t="shared" si="45"/>
        <v>0</v>
      </c>
      <c r="W46" s="33">
        <v>0.92</v>
      </c>
      <c r="X46" s="22">
        <f t="shared" si="22"/>
        <v>0.92147435897435892</v>
      </c>
      <c r="Y46" s="22">
        <f t="shared" si="46"/>
        <v>0</v>
      </c>
      <c r="Z46" s="27">
        <v>1.1499999999999999</v>
      </c>
      <c r="AA46" s="21">
        <f t="shared" si="23"/>
        <v>1.2401596031489268</v>
      </c>
      <c r="AB46" s="21">
        <f t="shared" si="47"/>
        <v>0</v>
      </c>
      <c r="AC46" s="27">
        <v>1.42</v>
      </c>
      <c r="AD46" s="21">
        <f t="shared" si="24"/>
        <v>1.5353011136339065</v>
      </c>
      <c r="AE46" s="21">
        <f t="shared" si="48"/>
        <v>0</v>
      </c>
      <c r="AF46" s="27">
        <v>0.96</v>
      </c>
      <c r="AG46" s="21">
        <f t="shared" si="25"/>
        <v>1.0302640051513199</v>
      </c>
      <c r="AH46" s="21">
        <f t="shared" si="49"/>
        <v>0</v>
      </c>
      <c r="AI46" s="27">
        <v>0.8</v>
      </c>
      <c r="AJ46" s="21">
        <f t="shared" si="26"/>
        <v>0.85397096498719038</v>
      </c>
      <c r="AK46" s="21">
        <f t="shared" si="50"/>
        <v>0</v>
      </c>
      <c r="AL46" s="35">
        <v>0.93</v>
      </c>
      <c r="AM46" s="21">
        <f t="shared" si="27"/>
        <v>1.0087862024080703</v>
      </c>
      <c r="AN46" s="23">
        <f t="shared" si="51"/>
        <v>0</v>
      </c>
      <c r="AO46" s="31">
        <v>1.96</v>
      </c>
      <c r="AP46" s="21">
        <f t="shared" si="28"/>
        <v>2.1416083916083917</v>
      </c>
      <c r="AQ46" s="23">
        <f t="shared" si="52"/>
        <v>0</v>
      </c>
      <c r="AR46" s="31">
        <v>0.83</v>
      </c>
      <c r="AS46" s="21">
        <f t="shared" si="29"/>
        <v>0.88288479948941601</v>
      </c>
      <c r="AT46" s="23">
        <f t="shared" si="53"/>
        <v>0</v>
      </c>
      <c r="AU46" s="5"/>
      <c r="AV46" s="5"/>
    </row>
    <row r="47" spans="1:48" ht="14.25" customHeight="1">
      <c r="A47" s="8" t="s">
        <v>43</v>
      </c>
      <c r="B47" s="27">
        <v>0.12</v>
      </c>
      <c r="C47" s="21">
        <f t="shared" si="15"/>
        <v>0.1278227524499361</v>
      </c>
      <c r="D47" s="21">
        <f t="shared" si="0"/>
        <v>0</v>
      </c>
      <c r="E47" s="27">
        <v>0.13</v>
      </c>
      <c r="F47" s="21">
        <f t="shared" si="16"/>
        <v>0.13893341883082186</v>
      </c>
      <c r="G47" s="21">
        <f t="shared" si="41"/>
        <v>0</v>
      </c>
      <c r="H47" s="27">
        <v>0.09</v>
      </c>
      <c r="I47" s="21">
        <f t="shared" si="17"/>
        <v>9.7108329736728519E-2</v>
      </c>
      <c r="J47" s="21">
        <f t="shared" si="42"/>
        <v>0</v>
      </c>
      <c r="K47" s="27">
        <v>0.2</v>
      </c>
      <c r="L47" s="21">
        <f t="shared" si="18"/>
        <v>0.21574973031283709</v>
      </c>
      <c r="M47" s="21">
        <f t="shared" si="43"/>
        <v>0</v>
      </c>
      <c r="N47" s="27">
        <v>0</v>
      </c>
      <c r="O47" s="21">
        <f t="shared" si="19"/>
        <v>0</v>
      </c>
      <c r="P47" s="21">
        <f t="shared" si="4"/>
        <v>0</v>
      </c>
      <c r="Q47" s="27">
        <v>0</v>
      </c>
      <c r="R47" s="21">
        <f t="shared" si="20"/>
        <v>0</v>
      </c>
      <c r="S47" s="21">
        <f t="shared" si="44"/>
        <v>0</v>
      </c>
      <c r="T47" s="27">
        <v>0</v>
      </c>
      <c r="U47" s="21">
        <f t="shared" si="21"/>
        <v>0</v>
      </c>
      <c r="V47" s="21">
        <f t="shared" si="45"/>
        <v>0</v>
      </c>
      <c r="W47" s="33">
        <v>0</v>
      </c>
      <c r="X47" s="22">
        <f t="shared" si="22"/>
        <v>0</v>
      </c>
      <c r="Y47" s="22">
        <f t="shared" si="46"/>
        <v>0</v>
      </c>
      <c r="Z47" s="27">
        <v>0</v>
      </c>
      <c r="AA47" s="21">
        <f t="shared" si="23"/>
        <v>0</v>
      </c>
      <c r="AB47" s="21">
        <f t="shared" si="47"/>
        <v>0</v>
      </c>
      <c r="AC47" s="27">
        <v>0</v>
      </c>
      <c r="AD47" s="21">
        <f t="shared" si="24"/>
        <v>0</v>
      </c>
      <c r="AE47" s="21">
        <f t="shared" si="48"/>
        <v>0</v>
      </c>
      <c r="AF47" s="27">
        <v>0</v>
      </c>
      <c r="AG47" s="21">
        <f t="shared" si="25"/>
        <v>0</v>
      </c>
      <c r="AH47" s="21">
        <f t="shared" si="49"/>
        <v>0</v>
      </c>
      <c r="AI47" s="27">
        <v>0</v>
      </c>
      <c r="AJ47" s="21">
        <f t="shared" si="26"/>
        <v>0</v>
      </c>
      <c r="AK47" s="21">
        <f t="shared" si="50"/>
        <v>0</v>
      </c>
      <c r="AL47" s="35">
        <v>0</v>
      </c>
      <c r="AM47" s="21">
        <f t="shared" si="27"/>
        <v>0</v>
      </c>
      <c r="AN47" s="23">
        <f t="shared" si="51"/>
        <v>0</v>
      </c>
      <c r="AO47" s="31">
        <v>0</v>
      </c>
      <c r="AP47" s="21">
        <f t="shared" si="28"/>
        <v>0</v>
      </c>
      <c r="AQ47" s="23">
        <f t="shared" si="52"/>
        <v>0</v>
      </c>
      <c r="AR47" s="31">
        <v>0</v>
      </c>
      <c r="AS47" s="21">
        <f t="shared" si="29"/>
        <v>0</v>
      </c>
      <c r="AT47" s="23">
        <f t="shared" si="53"/>
        <v>0</v>
      </c>
      <c r="AU47" s="5"/>
      <c r="AV47" s="5"/>
    </row>
    <row r="48" spans="1:48" ht="14.25" customHeight="1">
      <c r="A48" s="1" t="s">
        <v>44</v>
      </c>
      <c r="B48" s="27">
        <v>0.2</v>
      </c>
      <c r="C48" s="21">
        <f t="shared" si="15"/>
        <v>0.2130379207498935</v>
      </c>
      <c r="D48" s="21">
        <f t="shared" si="0"/>
        <v>0</v>
      </c>
      <c r="E48" s="27">
        <v>0.21</v>
      </c>
      <c r="F48" s="21">
        <f t="shared" si="16"/>
        <v>0.22443090734209684</v>
      </c>
      <c r="G48" s="21">
        <f t="shared" si="41"/>
        <v>0</v>
      </c>
      <c r="H48" s="27">
        <v>0.18</v>
      </c>
      <c r="I48" s="21">
        <f t="shared" si="17"/>
        <v>0.19421665947345704</v>
      </c>
      <c r="J48" s="21">
        <f t="shared" si="42"/>
        <v>0</v>
      </c>
      <c r="K48" s="27">
        <v>0.36</v>
      </c>
      <c r="L48" s="21">
        <f t="shared" si="18"/>
        <v>0.38834951456310679</v>
      </c>
      <c r="M48" s="21">
        <f t="shared" si="43"/>
        <v>0</v>
      </c>
      <c r="N48" s="29">
        <v>0.22</v>
      </c>
      <c r="O48" s="21">
        <f t="shared" si="19"/>
        <v>0.23605150214592274</v>
      </c>
      <c r="P48" s="24">
        <f t="shared" si="4"/>
        <v>0</v>
      </c>
      <c r="Q48" s="27">
        <v>0.28999999999999998</v>
      </c>
      <c r="R48" s="21">
        <f t="shared" si="20"/>
        <v>0.31079198371021322</v>
      </c>
      <c r="S48" s="21">
        <f t="shared" si="44"/>
        <v>0</v>
      </c>
      <c r="T48" s="27">
        <v>0.15</v>
      </c>
      <c r="U48" s="21">
        <f t="shared" si="21"/>
        <v>0.16129032258064516</v>
      </c>
      <c r="V48" s="21">
        <f t="shared" si="45"/>
        <v>0</v>
      </c>
      <c r="W48" s="33">
        <v>0.1</v>
      </c>
      <c r="X48" s="22">
        <f t="shared" si="22"/>
        <v>0.1001602564102564</v>
      </c>
      <c r="Y48" s="22">
        <f t="shared" si="46"/>
        <v>0</v>
      </c>
      <c r="Z48" s="27">
        <v>0.23</v>
      </c>
      <c r="AA48" s="21">
        <f t="shared" si="23"/>
        <v>0.24803192062978538</v>
      </c>
      <c r="AB48" s="21">
        <f t="shared" si="47"/>
        <v>0</v>
      </c>
      <c r="AC48" s="27">
        <v>0.28000000000000003</v>
      </c>
      <c r="AD48" s="21">
        <f t="shared" si="24"/>
        <v>0.30273543085739002</v>
      </c>
      <c r="AE48" s="21">
        <f t="shared" si="48"/>
        <v>0</v>
      </c>
      <c r="AF48" s="27">
        <v>0.18</v>
      </c>
      <c r="AG48" s="21">
        <f t="shared" si="25"/>
        <v>0.19317450096587249</v>
      </c>
      <c r="AH48" s="21">
        <f t="shared" si="49"/>
        <v>0</v>
      </c>
      <c r="AI48" s="27">
        <v>0.17</v>
      </c>
      <c r="AJ48" s="21">
        <f t="shared" si="26"/>
        <v>0.18146883005977796</v>
      </c>
      <c r="AK48" s="21">
        <f t="shared" si="50"/>
        <v>0</v>
      </c>
      <c r="AL48" s="35">
        <v>0.14000000000000001</v>
      </c>
      <c r="AM48" s="21">
        <f t="shared" si="27"/>
        <v>0.15186028853454825</v>
      </c>
      <c r="AN48" s="23">
        <f t="shared" si="51"/>
        <v>0</v>
      </c>
      <c r="AO48" s="31">
        <v>0.36</v>
      </c>
      <c r="AP48" s="21">
        <f t="shared" si="28"/>
        <v>0.39335664335664339</v>
      </c>
      <c r="AQ48" s="23">
        <f t="shared" si="52"/>
        <v>0</v>
      </c>
      <c r="AR48" s="31">
        <v>0.14000000000000001</v>
      </c>
      <c r="AS48" s="21">
        <f t="shared" si="29"/>
        <v>0.14892032762472079</v>
      </c>
      <c r="AT48" s="23">
        <f t="shared" si="53"/>
        <v>0</v>
      </c>
      <c r="AU48" s="5"/>
      <c r="AV48" s="5"/>
    </row>
    <row r="49" spans="1:48" ht="14.25" customHeight="1">
      <c r="A49" s="8" t="s">
        <v>45</v>
      </c>
      <c r="B49" s="27">
        <v>0.25</v>
      </c>
      <c r="C49" s="21">
        <f t="shared" si="15"/>
        <v>0.26629740093736687</v>
      </c>
      <c r="D49" s="21">
        <f t="shared" si="0"/>
        <v>0</v>
      </c>
      <c r="E49" s="27">
        <v>0.26</v>
      </c>
      <c r="F49" s="21">
        <f t="shared" si="16"/>
        <v>0.27786683766164372</v>
      </c>
      <c r="G49" s="21">
        <f t="shared" si="41"/>
        <v>0</v>
      </c>
      <c r="H49" s="27">
        <v>0.25</v>
      </c>
      <c r="I49" s="21">
        <f t="shared" si="17"/>
        <v>0.26974536037980146</v>
      </c>
      <c r="J49" s="21">
        <f t="shared" si="42"/>
        <v>0</v>
      </c>
      <c r="K49" s="27">
        <v>0.4</v>
      </c>
      <c r="L49" s="21">
        <f t="shared" si="18"/>
        <v>0.43149946062567418</v>
      </c>
      <c r="M49" s="21">
        <f t="shared" si="43"/>
        <v>0</v>
      </c>
      <c r="N49" s="30">
        <v>0.22</v>
      </c>
      <c r="O49" s="21">
        <f t="shared" si="19"/>
        <v>0.23605150214592274</v>
      </c>
      <c r="P49" s="24">
        <f t="shared" si="4"/>
        <v>0</v>
      </c>
      <c r="Q49" s="27">
        <v>0.2</v>
      </c>
      <c r="R49" s="21">
        <f t="shared" si="20"/>
        <v>0.2143392991104919</v>
      </c>
      <c r="S49" s="21">
        <f t="shared" si="44"/>
        <v>0</v>
      </c>
      <c r="T49" s="27">
        <v>0.17</v>
      </c>
      <c r="U49" s="21">
        <f t="shared" si="21"/>
        <v>0.18279569892473119</v>
      </c>
      <c r="V49" s="21">
        <f t="shared" si="45"/>
        <v>0</v>
      </c>
      <c r="W49" s="33">
        <v>0.14000000000000001</v>
      </c>
      <c r="X49" s="22">
        <f t="shared" si="22"/>
        <v>0.14022435897435898</v>
      </c>
      <c r="Y49" s="22">
        <f t="shared" si="46"/>
        <v>0</v>
      </c>
      <c r="Z49" s="27">
        <v>0.28999999999999998</v>
      </c>
      <c r="AA49" s="21">
        <f t="shared" si="23"/>
        <v>0.31273589992451195</v>
      </c>
      <c r="AB49" s="21">
        <f t="shared" si="47"/>
        <v>0</v>
      </c>
      <c r="AC49" s="27">
        <v>0.32</v>
      </c>
      <c r="AD49" s="21">
        <f t="shared" si="24"/>
        <v>0.34598334955130289</v>
      </c>
      <c r="AE49" s="21">
        <f t="shared" si="48"/>
        <v>0</v>
      </c>
      <c r="AF49" s="27">
        <v>0.16</v>
      </c>
      <c r="AG49" s="21">
        <f t="shared" si="25"/>
        <v>0.17171066752521999</v>
      </c>
      <c r="AH49" s="21">
        <f t="shared" si="49"/>
        <v>0</v>
      </c>
      <c r="AI49" s="27">
        <v>0.25</v>
      </c>
      <c r="AJ49" s="21">
        <f t="shared" si="26"/>
        <v>0.266865926558497</v>
      </c>
      <c r="AK49" s="21">
        <f t="shared" si="50"/>
        <v>0</v>
      </c>
      <c r="AL49" s="35">
        <v>0.19</v>
      </c>
      <c r="AM49" s="21">
        <f t="shared" si="27"/>
        <v>0.20609610586831545</v>
      </c>
      <c r="AN49" s="23">
        <f t="shared" si="51"/>
        <v>0</v>
      </c>
      <c r="AO49" s="31">
        <v>0.32</v>
      </c>
      <c r="AP49" s="21">
        <f t="shared" si="28"/>
        <v>0.34965034965034969</v>
      </c>
      <c r="AQ49" s="23">
        <f t="shared" si="52"/>
        <v>0</v>
      </c>
      <c r="AR49" s="31">
        <v>0.17</v>
      </c>
      <c r="AS49" s="21">
        <f t="shared" si="29"/>
        <v>0.18083182640144665</v>
      </c>
      <c r="AT49" s="23">
        <f t="shared" si="53"/>
        <v>0</v>
      </c>
      <c r="AU49" s="5"/>
      <c r="AV49" s="5"/>
    </row>
    <row r="50" spans="1:48" ht="14" customHeight="1">
      <c r="A50" s="8" t="s">
        <v>46</v>
      </c>
      <c r="B50" s="27">
        <f>SUM(0.14,0.14,0.28)</f>
        <v>0.56000000000000005</v>
      </c>
      <c r="C50" s="21">
        <f t="shared" si="15"/>
        <v>0.59650617809970186</v>
      </c>
      <c r="D50" s="21">
        <f t="shared" si="0"/>
        <v>0</v>
      </c>
      <c r="E50" s="27">
        <f>SUM(0.11,0.13,0.15)</f>
        <v>0.39</v>
      </c>
      <c r="F50" s="21">
        <f t="shared" si="16"/>
        <v>0.41680025649246555</v>
      </c>
      <c r="G50" s="21">
        <f t="shared" si="41"/>
        <v>0</v>
      </c>
      <c r="H50" s="27">
        <f>SUM(0.13+0.13+0.17+0.44-0.09)</f>
        <v>0.78000000000000014</v>
      </c>
      <c r="I50" s="21">
        <f t="shared" si="17"/>
        <v>0.84160552438498071</v>
      </c>
      <c r="J50" s="21">
        <f t="shared" si="42"/>
        <v>0</v>
      </c>
      <c r="K50" s="27">
        <f>SUM(0.17+0.16+0.19+0.21+0.19-0.1)</f>
        <v>0.82</v>
      </c>
      <c r="L50" s="21">
        <f t="shared" si="18"/>
        <v>0.88457389428263211</v>
      </c>
      <c r="M50" s="21">
        <f t="shared" si="43"/>
        <v>0</v>
      </c>
      <c r="N50" s="29">
        <f>SUM(0.1+0.11+0.11+0.35-0.09)</f>
        <v>0.57999999999999996</v>
      </c>
      <c r="O50" s="21">
        <f t="shared" si="19"/>
        <v>0.62231759656652352</v>
      </c>
      <c r="P50" s="24">
        <f t="shared" si="4"/>
        <v>0</v>
      </c>
      <c r="Q50" s="31">
        <f>SUM(0.29+0.12+0.33+0.14-0.1)</f>
        <v>0.78</v>
      </c>
      <c r="R50" s="21">
        <f t="shared" si="20"/>
        <v>0.83592326653091842</v>
      </c>
      <c r="S50" s="21">
        <f t="shared" si="44"/>
        <v>0</v>
      </c>
      <c r="T50" s="27">
        <f>SUM(0.13,0.17,0.16,0.17,0.13)-0.2</f>
        <v>0.56000000000000005</v>
      </c>
      <c r="U50" s="21">
        <f t="shared" si="21"/>
        <v>0.60215053763440873</v>
      </c>
      <c r="V50" s="21">
        <f t="shared" si="45"/>
        <v>0</v>
      </c>
      <c r="W50" s="33">
        <f>SUM(0.13,0.14,0.14)</f>
        <v>0.41000000000000003</v>
      </c>
      <c r="X50" s="22">
        <f>W50*100/(100-W$27)</f>
        <v>0.41065705128205127</v>
      </c>
      <c r="Y50" s="22">
        <f t="shared" si="46"/>
        <v>0</v>
      </c>
      <c r="Z50" s="31">
        <f>SUM(0.19,0.21,0.44,0.16)</f>
        <v>1</v>
      </c>
      <c r="AA50" s="21">
        <f t="shared" si="23"/>
        <v>1.0783996549121104</v>
      </c>
      <c r="AB50" s="21">
        <f t="shared" si="47"/>
        <v>0</v>
      </c>
      <c r="AC50" s="31">
        <f>SUM(0.16+0.44+0.14+0.21)-0.1</f>
        <v>0.85</v>
      </c>
      <c r="AD50" s="21">
        <f t="shared" si="24"/>
        <v>0.91901827224564825</v>
      </c>
      <c r="AE50" s="21">
        <f t="shared" si="48"/>
        <v>0</v>
      </c>
      <c r="AF50" s="31">
        <f>SUM(0.23,0.15)-0.1</f>
        <v>0.28000000000000003</v>
      </c>
      <c r="AG50" s="21">
        <f t="shared" si="25"/>
        <v>0.30049366816913503</v>
      </c>
      <c r="AH50" s="21">
        <f t="shared" si="49"/>
        <v>0</v>
      </c>
      <c r="AI50" s="27">
        <f>SUM(0.12,0.1,0.18,0.18,0.3)-(0.1+0.12+0.09)</f>
        <v>0.57000000000000006</v>
      </c>
      <c r="AJ50" s="21">
        <f t="shared" si="26"/>
        <v>0.60845431255337323</v>
      </c>
      <c r="AK50" s="21">
        <f t="shared" si="50"/>
        <v>0</v>
      </c>
      <c r="AL50" s="35">
        <f>SUM(0.14,0.17,0.13,0.12,0.2)-(0.1+0.1+0.07)</f>
        <v>0.49</v>
      </c>
      <c r="AM50" s="21">
        <f t="shared" si="27"/>
        <v>0.53151100987091882</v>
      </c>
      <c r="AN50" s="23">
        <f t="shared" si="51"/>
        <v>0</v>
      </c>
      <c r="AO50" s="31">
        <f>SUM(0.13,0.24,0.15,0.12)-0.1</f>
        <v>0.54</v>
      </c>
      <c r="AP50" s="21">
        <f t="shared" si="28"/>
        <v>0.59003496503496511</v>
      </c>
      <c r="AQ50" s="23">
        <f t="shared" si="52"/>
        <v>0</v>
      </c>
      <c r="AR50" s="31">
        <f>SUM(0.16,0.13,0.12,0.18,0.22-0.09-0.1-0.1)</f>
        <v>0.52</v>
      </c>
      <c r="AS50" s="21">
        <f t="shared" si="29"/>
        <v>0.55313264546324858</v>
      </c>
      <c r="AT50" s="23">
        <f t="shared" si="53"/>
        <v>0</v>
      </c>
      <c r="AU50" s="5"/>
      <c r="AV50" s="5"/>
    </row>
    <row r="51" spans="1:48" ht="14.25" customHeight="1">
      <c r="A51" s="8" t="s">
        <v>47</v>
      </c>
      <c r="B51" s="27">
        <f>SUM(B5:B50)</f>
        <v>99.990000000000038</v>
      </c>
      <c r="C51" s="21">
        <f t="shared" ref="C51:AT51" si="54">SUM(C5:C50)</f>
        <v>99.989348103962499</v>
      </c>
      <c r="D51" s="21">
        <f t="shared" si="54"/>
        <v>0</v>
      </c>
      <c r="E51" s="27">
        <f t="shared" si="54"/>
        <v>99.990000000000009</v>
      </c>
      <c r="F51" s="21">
        <f t="shared" si="54"/>
        <v>99.989312813936081</v>
      </c>
      <c r="G51" s="21">
        <f t="shared" si="54"/>
        <v>0</v>
      </c>
      <c r="H51" s="27">
        <f>SUM(H5:H50)</f>
        <v>100.04</v>
      </c>
      <c r="I51" s="21">
        <f t="shared" si="54"/>
        <v>100.04315925766076</v>
      </c>
      <c r="J51" s="21">
        <f t="shared" si="54"/>
        <v>0</v>
      </c>
      <c r="K51" s="27">
        <f>SUM(K5:K50)</f>
        <v>99.95</v>
      </c>
      <c r="L51" s="21">
        <f t="shared" si="54"/>
        <v>99.946062567421777</v>
      </c>
      <c r="M51" s="21">
        <f t="shared" si="54"/>
        <v>0</v>
      </c>
      <c r="N51" s="27">
        <f>SUM(N5:N50)</f>
        <v>99.97999999999999</v>
      </c>
      <c r="O51" s="21">
        <f t="shared" si="54"/>
        <v>99.978540772532199</v>
      </c>
      <c r="P51" s="21">
        <f t="shared" si="54"/>
        <v>0</v>
      </c>
      <c r="Q51" s="27">
        <f>SUM(Q5:Q50)</f>
        <v>99.99</v>
      </c>
      <c r="R51" s="21">
        <f t="shared" si="54"/>
        <v>99.98928303504448</v>
      </c>
      <c r="S51" s="21" t="e">
        <f t="shared" si="54"/>
        <v>#REF!</v>
      </c>
      <c r="T51" s="27">
        <f>SUM(T5:T50)</f>
        <v>100.01000000000002</v>
      </c>
      <c r="U51" s="21">
        <f t="shared" si="54"/>
        <v>100.01075268817206</v>
      </c>
      <c r="V51" s="21">
        <f t="shared" si="54"/>
        <v>0</v>
      </c>
      <c r="W51" s="27">
        <f t="shared" si="54"/>
        <v>99.97</v>
      </c>
      <c r="X51" s="21">
        <f t="shared" si="54"/>
        <v>99.969951923076948</v>
      </c>
      <c r="Y51" s="21">
        <f t="shared" si="54"/>
        <v>0</v>
      </c>
      <c r="Z51" s="27">
        <f t="shared" si="54"/>
        <v>99.980000000000018</v>
      </c>
      <c r="AA51" s="21">
        <f t="shared" si="54"/>
        <v>99.97843200690177</v>
      </c>
      <c r="AB51" s="21">
        <f t="shared" si="54"/>
        <v>0</v>
      </c>
      <c r="AC51" s="27">
        <f t="shared" si="54"/>
        <v>99.980000000000018</v>
      </c>
      <c r="AD51" s="21">
        <f t="shared" si="54"/>
        <v>99.97837604065306</v>
      </c>
      <c r="AE51" s="21">
        <f t="shared" si="54"/>
        <v>0</v>
      </c>
      <c r="AF51" s="27">
        <f t="shared" si="54"/>
        <v>99.989999999999981</v>
      </c>
      <c r="AG51" s="21">
        <f t="shared" si="54"/>
        <v>99.989268083279669</v>
      </c>
      <c r="AH51" s="21" t="e">
        <f t="shared" si="54"/>
        <v>#REF!</v>
      </c>
      <c r="AI51" s="27">
        <f t="shared" si="54"/>
        <v>99.999999999999986</v>
      </c>
      <c r="AJ51" s="21">
        <f t="shared" si="54"/>
        <v>99.999999999999972</v>
      </c>
      <c r="AK51" s="21">
        <f t="shared" si="54"/>
        <v>0</v>
      </c>
      <c r="AL51" s="27">
        <f t="shared" si="54"/>
        <v>100</v>
      </c>
      <c r="AM51" s="21">
        <f t="shared" si="54"/>
        <v>100</v>
      </c>
      <c r="AN51" s="21">
        <f t="shared" si="54"/>
        <v>0</v>
      </c>
      <c r="AO51" s="27">
        <f t="shared" si="54"/>
        <v>100.00000000000001</v>
      </c>
      <c r="AP51" s="21">
        <f t="shared" si="54"/>
        <v>99.999999999999957</v>
      </c>
      <c r="AQ51" s="21">
        <f t="shared" si="54"/>
        <v>0</v>
      </c>
      <c r="AR51" s="27">
        <f t="shared" si="54"/>
        <v>99.99</v>
      </c>
      <c r="AS51" s="21">
        <f t="shared" si="54"/>
        <v>99.989362833741055</v>
      </c>
      <c r="AT51" s="21">
        <f t="shared" si="54"/>
        <v>0</v>
      </c>
      <c r="AU51" s="5"/>
      <c r="AV51" s="5"/>
    </row>
    <row r="52" spans="1:48" ht="14.25" customHeight="1" thickBot="1">
      <c r="A52" s="8" t="s">
        <v>48</v>
      </c>
      <c r="B52" s="14"/>
      <c r="C52" s="17"/>
      <c r="D52" s="17">
        <f>SUM(D5:D50)</f>
        <v>0</v>
      </c>
      <c r="E52" s="17"/>
      <c r="F52" s="17"/>
      <c r="G52" s="17">
        <f>SUM(G5:G50)</f>
        <v>0</v>
      </c>
      <c r="H52" s="17"/>
      <c r="I52" s="17"/>
      <c r="J52" s="17">
        <f>SUM(J5:J51)</f>
        <v>0</v>
      </c>
      <c r="K52" s="17"/>
      <c r="L52" s="17"/>
      <c r="M52" s="17">
        <f>SUM(M5:M51)</f>
        <v>0</v>
      </c>
      <c r="N52" s="18"/>
      <c r="O52" s="18"/>
      <c r="P52" s="18">
        <f>SUM(P5:P51)</f>
        <v>0</v>
      </c>
      <c r="Q52" s="17"/>
      <c r="R52" s="17"/>
      <c r="S52" s="17" t="e">
        <f>SUM(S5:S51)</f>
        <v>#REF!</v>
      </c>
      <c r="T52" s="17"/>
      <c r="U52" s="17"/>
      <c r="V52" s="17">
        <f>SUM(V5:V51)</f>
        <v>0</v>
      </c>
      <c r="W52" s="17"/>
      <c r="X52" s="17"/>
      <c r="Y52" s="17">
        <f>SUM(Y5:Y51)</f>
        <v>0</v>
      </c>
      <c r="Z52" s="17"/>
      <c r="AA52" s="17"/>
      <c r="AB52" s="17">
        <f>SUM(AB5:AB51)</f>
        <v>0</v>
      </c>
      <c r="AC52" s="17"/>
      <c r="AD52" s="17"/>
      <c r="AE52" s="17">
        <f>SUM(AE5:AE51)</f>
        <v>0</v>
      </c>
      <c r="AF52" s="17"/>
      <c r="AG52" s="17"/>
      <c r="AH52" s="17" t="e">
        <f>SUM(AH5:AH51)</f>
        <v>#REF!</v>
      </c>
      <c r="AI52" s="17"/>
      <c r="AJ52" s="17"/>
      <c r="AK52" s="17">
        <f>SUM(AK5:AK51)</f>
        <v>0</v>
      </c>
      <c r="AL52" s="19"/>
      <c r="AM52" s="19"/>
      <c r="AN52" s="19">
        <f>SUM(AN5:AN51)</f>
        <v>0</v>
      </c>
      <c r="AO52" s="19"/>
      <c r="AP52" s="19"/>
      <c r="AQ52" s="19">
        <f>SUM(AQ5:AQ51)</f>
        <v>0</v>
      </c>
      <c r="AR52" s="19"/>
      <c r="AS52" s="19"/>
      <c r="AT52" s="20">
        <f>SUM(AT5:AT51)</f>
        <v>0</v>
      </c>
      <c r="AU52" s="5"/>
      <c r="AV52" s="5"/>
    </row>
    <row r="53" spans="1:48" ht="14.25" customHeight="1">
      <c r="A53" s="8" t="s">
        <v>49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1"/>
      <c r="R53" s="11"/>
      <c r="S53" s="11"/>
      <c r="T53" s="9"/>
      <c r="U53" s="9"/>
      <c r="V53" s="9"/>
      <c r="W53" s="10"/>
      <c r="X53" s="10"/>
      <c r="Y53" s="10"/>
      <c r="Z53" s="12"/>
      <c r="AA53" s="12"/>
      <c r="AB53" s="12"/>
      <c r="AC53" s="12"/>
      <c r="AD53" s="12"/>
      <c r="AE53" s="12"/>
      <c r="AF53" s="12"/>
      <c r="AG53" s="9"/>
      <c r="AH53" s="9"/>
      <c r="AI53" s="9"/>
      <c r="AJ53" s="12"/>
      <c r="AK53" s="12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ht="14.25" customHeight="1">
      <c r="A54" s="8" t="s">
        <v>50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1"/>
      <c r="R54" s="11"/>
      <c r="S54" s="11"/>
      <c r="T54" s="9"/>
      <c r="U54" s="9"/>
      <c r="V54" s="9"/>
      <c r="W54" s="10"/>
      <c r="X54" s="10"/>
      <c r="Y54" s="10"/>
      <c r="Z54" s="12"/>
      <c r="AA54" s="12"/>
      <c r="AB54" s="12"/>
      <c r="AC54" s="12"/>
      <c r="AD54" s="12"/>
      <c r="AE54" s="12"/>
      <c r="AF54" s="12"/>
      <c r="AG54" s="9"/>
      <c r="AH54" s="9"/>
      <c r="AI54" s="9"/>
      <c r="AJ54" s="12"/>
      <c r="AK54" s="12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14.25" customHeight="1">
      <c r="A55" s="1" t="s">
        <v>51</v>
      </c>
      <c r="B55" s="9">
        <v>1.1499999999999999</v>
      </c>
      <c r="C55" s="9"/>
      <c r="D55" s="9"/>
      <c r="E55" s="9">
        <v>1.36</v>
      </c>
      <c r="F55" s="9"/>
      <c r="G55" s="9"/>
      <c r="H55" s="9">
        <v>1.04</v>
      </c>
      <c r="I55" s="9"/>
      <c r="J55" s="9"/>
      <c r="K55" s="9">
        <v>0.71</v>
      </c>
      <c r="L55" s="9"/>
      <c r="M55" s="9"/>
      <c r="N55" s="9">
        <v>1.46</v>
      </c>
      <c r="O55" s="9"/>
      <c r="P55" s="9"/>
      <c r="Q55" s="11">
        <v>0.91</v>
      </c>
      <c r="R55" s="11"/>
      <c r="S55" s="11"/>
      <c r="T55" s="9">
        <v>1.74</v>
      </c>
      <c r="U55" s="9"/>
      <c r="V55" s="9"/>
      <c r="W55" s="10">
        <v>1.42</v>
      </c>
      <c r="X55" s="10"/>
      <c r="Y55" s="10"/>
      <c r="Z55" s="12">
        <v>0.94</v>
      </c>
      <c r="AA55" s="12"/>
      <c r="AB55" s="12"/>
      <c r="AC55" s="12">
        <v>1.05</v>
      </c>
      <c r="AD55" s="12"/>
      <c r="AE55" s="12"/>
      <c r="AF55" s="12">
        <v>1.23</v>
      </c>
      <c r="AG55" s="9"/>
      <c r="AH55" s="9"/>
      <c r="AI55" s="9">
        <v>2.0699999999999998</v>
      </c>
      <c r="AJ55" s="12"/>
      <c r="AK55" s="12"/>
      <c r="AL55" s="5">
        <v>1.23</v>
      </c>
      <c r="AM55" s="5"/>
      <c r="AN55" s="5"/>
      <c r="AO55" s="5">
        <v>0.96</v>
      </c>
      <c r="AP55" s="5"/>
      <c r="AQ55" s="5"/>
      <c r="AR55" s="5">
        <v>1.28</v>
      </c>
      <c r="AS55" s="5"/>
      <c r="AT55" s="5"/>
      <c r="AU55" s="5"/>
      <c r="AV55" s="5"/>
    </row>
    <row r="56" spans="1:48" ht="14.25" customHeight="1">
      <c r="A56" s="1"/>
      <c r="B56" s="2">
        <v>7.7</v>
      </c>
      <c r="C56" s="2"/>
      <c r="D56" s="2"/>
      <c r="E56" s="2">
        <v>6.4</v>
      </c>
      <c r="F56" s="2"/>
      <c r="G56" s="2"/>
      <c r="H56" s="2">
        <v>5.7</v>
      </c>
      <c r="I56" s="2"/>
      <c r="J56" s="2"/>
      <c r="K56" s="2">
        <v>3.5</v>
      </c>
      <c r="L56" s="2"/>
      <c r="M56" s="2"/>
      <c r="N56" s="2">
        <v>6.3</v>
      </c>
      <c r="O56" s="2"/>
      <c r="P56" s="5"/>
      <c r="Q56" s="5">
        <v>5.5</v>
      </c>
      <c r="R56" s="5"/>
      <c r="S56" s="5"/>
      <c r="T56" s="5">
        <v>10.199999999999999</v>
      </c>
      <c r="U56" s="5"/>
      <c r="V56" s="5"/>
      <c r="W56" s="5">
        <v>8.4</v>
      </c>
      <c r="X56" s="5"/>
      <c r="Y56" s="5"/>
      <c r="Z56" s="5">
        <v>5.4</v>
      </c>
      <c r="AA56" s="5"/>
      <c r="AB56" s="5"/>
      <c r="AC56" s="5">
        <v>5.0999999999999996</v>
      </c>
      <c r="AD56" s="5"/>
      <c r="AE56" s="5"/>
      <c r="AF56" s="5">
        <v>5.8</v>
      </c>
      <c r="AG56" s="2"/>
      <c r="AH56" s="2"/>
      <c r="AI56" s="2" t="s">
        <v>87</v>
      </c>
      <c r="AJ56" s="5"/>
      <c r="AK56" s="5"/>
      <c r="AL56" s="5">
        <v>6.6</v>
      </c>
      <c r="AM56" s="5"/>
      <c r="AN56" s="5"/>
      <c r="AO56" s="5">
        <v>6.4</v>
      </c>
      <c r="AP56" s="5"/>
      <c r="AQ56" s="5"/>
      <c r="AR56" s="5">
        <v>7.3</v>
      </c>
      <c r="AS56" s="5"/>
      <c r="AT56" s="5"/>
      <c r="AU56" s="5"/>
      <c r="AV56" s="5"/>
    </row>
    <row r="57" spans="1:48" ht="14.2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3"/>
      <c r="S57" s="3"/>
      <c r="T57" s="2"/>
      <c r="U57" s="2"/>
      <c r="V57" s="2"/>
      <c r="W57" s="4"/>
      <c r="X57" s="4"/>
      <c r="Y57" s="4"/>
      <c r="Z57" s="5"/>
      <c r="AA57" s="5"/>
      <c r="AB57" s="5"/>
      <c r="AC57" s="5"/>
      <c r="AD57" s="5"/>
      <c r="AE57" s="5"/>
      <c r="AF57" s="5"/>
      <c r="AG57" s="2"/>
      <c r="AH57" s="2"/>
      <c r="AI57" s="2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">
        <v>2</v>
      </c>
      <c r="N58" s="2"/>
      <c r="O58" s="2"/>
      <c r="P58" s="2"/>
      <c r="Q58" s="3"/>
      <c r="R58" s="3"/>
      <c r="S58" s="3"/>
      <c r="T58" s="2"/>
      <c r="U58" s="2"/>
      <c r="V58" s="2"/>
      <c r="W58" s="4" t="s">
        <v>1</v>
      </c>
      <c r="X58" s="4"/>
      <c r="Y58" s="4"/>
      <c r="Z58" s="5"/>
      <c r="AA58" s="5"/>
      <c r="AB58" s="5"/>
      <c r="AC58" s="5"/>
      <c r="AD58" s="5"/>
      <c r="AE58" s="5"/>
      <c r="AF58" s="5"/>
      <c r="AG58" s="2"/>
      <c r="AH58" s="2"/>
      <c r="AI58" s="2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3"/>
      <c r="S59" s="3"/>
      <c r="T59" s="2"/>
      <c r="U59" s="2"/>
      <c r="V59" s="2"/>
      <c r="W59" s="4"/>
      <c r="X59" s="4"/>
      <c r="Y59" s="4"/>
      <c r="Z59" s="5"/>
      <c r="AA59" s="5"/>
      <c r="AB59" s="5"/>
      <c r="AC59" s="5"/>
      <c r="AD59" s="5"/>
      <c r="AE59" s="5"/>
      <c r="AF59" s="5"/>
      <c r="AG59" s="2"/>
      <c r="AH59" s="2"/>
      <c r="AI59" s="2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3"/>
      <c r="S60" s="3"/>
      <c r="T60" s="2"/>
      <c r="U60" s="2"/>
      <c r="V60" s="2"/>
      <c r="W60" s="4"/>
      <c r="X60" s="4"/>
      <c r="Y60" s="4"/>
      <c r="Z60" s="5"/>
      <c r="AA60" s="5"/>
      <c r="AB60" s="5"/>
      <c r="AC60" s="5"/>
      <c r="AD60" s="5"/>
      <c r="AE60" s="5"/>
      <c r="AF60" s="5"/>
      <c r="AG60" s="2"/>
      <c r="AH60" s="2"/>
      <c r="AI60" s="2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t="14.25" customHeight="1">
      <c r="A61" s="1" t="s">
        <v>52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3"/>
      <c r="T61" s="2"/>
      <c r="U61" s="2"/>
      <c r="V61" s="2"/>
      <c r="W61" s="4"/>
      <c r="X61" s="4"/>
      <c r="Y61" s="4"/>
      <c r="Z61" s="5"/>
      <c r="AA61" s="5"/>
      <c r="AB61" s="5"/>
      <c r="AC61" s="5"/>
      <c r="AD61" s="5"/>
      <c r="AE61" s="5"/>
      <c r="AF61" s="5"/>
      <c r="AG61" s="2"/>
      <c r="AH61" s="2"/>
      <c r="AI61" s="2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t="14.25" customHeight="1">
      <c r="A62" s="1" t="s">
        <v>91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3"/>
      <c r="S62" s="3"/>
      <c r="T62" s="2"/>
      <c r="U62" s="2"/>
      <c r="V62" s="2"/>
      <c r="W62" s="4"/>
      <c r="X62" s="4"/>
      <c r="Y62" s="4"/>
      <c r="Z62" s="5"/>
      <c r="AA62" s="5"/>
      <c r="AB62" s="5"/>
      <c r="AC62" s="5"/>
      <c r="AD62" s="5"/>
      <c r="AE62" s="5"/>
      <c r="AF62" s="5"/>
      <c r="AG62" s="2"/>
      <c r="AH62" s="2"/>
      <c r="AI62" s="2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t="14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3"/>
      <c r="S63" s="3"/>
      <c r="T63" s="2"/>
      <c r="U63" s="2"/>
      <c r="V63" s="2"/>
      <c r="W63" s="4"/>
      <c r="X63" s="4"/>
      <c r="Y63" s="4"/>
      <c r="Z63" s="5"/>
      <c r="AA63" s="5"/>
      <c r="AB63" s="5"/>
      <c r="AC63" s="5"/>
      <c r="AD63" s="5"/>
      <c r="AE63" s="5"/>
      <c r="AF63" s="5"/>
      <c r="AG63" s="2"/>
      <c r="AH63" s="2"/>
      <c r="AI63" s="2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t="14.25" customHeight="1">
      <c r="A64" s="1"/>
      <c r="B64" s="89" t="s">
        <v>3</v>
      </c>
      <c r="C64" s="89"/>
      <c r="D64" s="89"/>
      <c r="E64" s="89"/>
      <c r="F64" s="89"/>
      <c r="G64" s="89"/>
      <c r="H64" s="89"/>
      <c r="I64" s="89" t="s">
        <v>2</v>
      </c>
      <c r="J64" s="89"/>
      <c r="K64" s="89"/>
      <c r="L64" s="89"/>
      <c r="M64" s="89"/>
      <c r="N64" s="89"/>
      <c r="O64" s="89"/>
      <c r="P64" s="89" t="s">
        <v>1</v>
      </c>
      <c r="Q64" s="89"/>
      <c r="R64" s="89"/>
      <c r="S64" s="89"/>
      <c r="T64" s="89"/>
      <c r="U64" s="89"/>
      <c r="V64" s="89"/>
      <c r="W64" s="37"/>
      <c r="X64" s="4"/>
      <c r="Y64" s="4"/>
      <c r="Z64" s="5"/>
      <c r="AA64" s="5"/>
      <c r="AB64" s="5"/>
      <c r="AC64" s="5"/>
      <c r="AD64" s="5"/>
      <c r="AE64" s="5"/>
      <c r="AF64" s="5"/>
      <c r="AG64" s="2"/>
      <c r="AH64" s="2"/>
      <c r="AI64" s="2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t="14.25" customHeight="1">
      <c r="A65" s="1" t="s">
        <v>53</v>
      </c>
      <c r="B65" s="38">
        <v>1</v>
      </c>
      <c r="C65" s="38">
        <v>2</v>
      </c>
      <c r="D65" s="38">
        <v>3</v>
      </c>
      <c r="E65" s="38">
        <v>4</v>
      </c>
      <c r="F65" s="38">
        <v>5</v>
      </c>
      <c r="G65" s="40" t="s">
        <v>89</v>
      </c>
      <c r="H65" s="40" t="s">
        <v>90</v>
      </c>
      <c r="I65" s="38">
        <v>10</v>
      </c>
      <c r="J65" s="38">
        <v>11</v>
      </c>
      <c r="K65" s="38">
        <v>12</v>
      </c>
      <c r="L65" s="38">
        <v>13</v>
      </c>
      <c r="M65" s="38">
        <v>14</v>
      </c>
      <c r="N65" s="40" t="s">
        <v>89</v>
      </c>
      <c r="O65" s="40" t="s">
        <v>90</v>
      </c>
      <c r="P65" s="38">
        <v>17</v>
      </c>
      <c r="Q65" s="39">
        <v>18</v>
      </c>
      <c r="R65" s="39">
        <v>19</v>
      </c>
      <c r="S65" s="39">
        <v>20</v>
      </c>
      <c r="T65" s="38">
        <v>21</v>
      </c>
      <c r="U65" s="13" t="s">
        <v>89</v>
      </c>
      <c r="V65" s="13" t="s">
        <v>90</v>
      </c>
      <c r="W65" s="4"/>
      <c r="X65" s="4"/>
      <c r="Y65" s="4"/>
      <c r="Z65" s="5"/>
      <c r="AA65" s="5"/>
      <c r="AB65" s="5"/>
      <c r="AC65" s="5"/>
      <c r="AD65" s="5"/>
      <c r="AE65" s="5"/>
      <c r="AF65" s="5"/>
      <c r="AG65" s="2"/>
      <c r="AH65" s="2"/>
      <c r="AI65" s="2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t="14.25" customHeight="1">
      <c r="A66" s="8" t="s">
        <v>85</v>
      </c>
      <c r="B66" s="2">
        <v>0.6817213463996592</v>
      </c>
      <c r="C66" s="2">
        <v>0.51298493106764997</v>
      </c>
      <c r="D66" s="2">
        <v>0.47475183426845052</v>
      </c>
      <c r="E66" s="2">
        <v>0.22653721682847897</v>
      </c>
      <c r="F66" s="2">
        <v>0.90128755364806867</v>
      </c>
      <c r="G66" s="41">
        <f>AVERAGE(B66:F66)</f>
        <v>0.5594565764424615</v>
      </c>
      <c r="H66" s="41">
        <f>STDEVA(B66:F66)</f>
        <v>0.25098152229119325</v>
      </c>
      <c r="I66" s="2">
        <v>0.33222591362126247</v>
      </c>
      <c r="J66" s="2">
        <v>0.978494623655914</v>
      </c>
      <c r="K66" s="2">
        <v>1.3020833333333333</v>
      </c>
      <c r="L66" s="2">
        <v>0.69017577914375061</v>
      </c>
      <c r="M66" s="2">
        <v>0.69196669910260578</v>
      </c>
      <c r="N66" s="41">
        <f>AVERAGE(I66:M66)</f>
        <v>0.79898926977137319</v>
      </c>
      <c r="O66" s="41">
        <f>STDEVA(I66:M66)</f>
        <v>0.36279747996786538</v>
      </c>
      <c r="P66" s="2">
        <v>0.64391500321957496</v>
      </c>
      <c r="Q66" s="2">
        <v>0.99274124679760878</v>
      </c>
      <c r="R66" s="2">
        <v>0.77014860613949454</v>
      </c>
      <c r="S66" s="2">
        <v>0.27316433566433568</v>
      </c>
      <c r="T66" s="2">
        <v>0.67014147431124349</v>
      </c>
      <c r="U66" s="41">
        <f>AVERAGE(Q66:T66)</f>
        <v>0.67654891572817055</v>
      </c>
      <c r="V66" s="41">
        <f>STDEVA(Q66:T66)</f>
        <v>0.30083144062803058</v>
      </c>
      <c r="W66" s="4"/>
      <c r="X66" s="4"/>
      <c r="Y66" s="4"/>
      <c r="Z66" s="5"/>
      <c r="AA66" s="5"/>
      <c r="AB66" s="5"/>
      <c r="AC66" s="5"/>
      <c r="AD66" s="5"/>
      <c r="AE66" s="5"/>
      <c r="AF66" s="5"/>
      <c r="AG66" s="2"/>
      <c r="AH66" s="2"/>
      <c r="AI66" s="2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t="14.25" customHeight="1">
      <c r="A67" s="8" t="s">
        <v>4</v>
      </c>
      <c r="B67" s="2">
        <v>3.1849169152109078</v>
      </c>
      <c r="C67" s="2">
        <v>2.9817249118307152</v>
      </c>
      <c r="D67" s="2">
        <v>2.1363832542080274</v>
      </c>
      <c r="E67" s="2">
        <v>1.1758360302049624</v>
      </c>
      <c r="F67" s="2">
        <v>3.8197424892703862</v>
      </c>
      <c r="G67" s="41">
        <f t="shared" ref="G67:G100" si="55">AVERAGE(B67:F67)</f>
        <v>2.6597207201449997</v>
      </c>
      <c r="H67" s="41">
        <f t="shared" ref="H67:H100" si="56">STDEVA(B67:F67)</f>
        <v>1.0248126809216707</v>
      </c>
      <c r="I67" s="2">
        <v>2.2076947808380667</v>
      </c>
      <c r="J67" s="2">
        <v>4.247311827956989</v>
      </c>
      <c r="K67" s="2">
        <v>4.6674679487179489</v>
      </c>
      <c r="L67" s="2">
        <v>2.9871670441065459</v>
      </c>
      <c r="M67" s="2">
        <v>2.7462428370634666</v>
      </c>
      <c r="N67" s="41">
        <f t="shared" ref="N67:N100" si="57">AVERAGE(I67:M67)</f>
        <v>3.3711768877366035</v>
      </c>
      <c r="O67" s="41">
        <f t="shared" ref="O67:O100" si="58">STDEVA(I67:M67)</f>
        <v>1.041594893543514</v>
      </c>
      <c r="P67" s="2">
        <v>3.1981111826572222</v>
      </c>
      <c r="Q67" s="2">
        <v>4.4192997438087094</v>
      </c>
      <c r="R67" s="2">
        <v>3.7639657229634453</v>
      </c>
      <c r="S67" s="2">
        <v>1.6171328671328673</v>
      </c>
      <c r="T67" s="2">
        <v>4.0208488458674605</v>
      </c>
      <c r="U67" s="41">
        <f t="shared" ref="U67:U100" si="59">AVERAGE(P67:T67)</f>
        <v>3.4038716724859412</v>
      </c>
      <c r="V67" s="41">
        <f t="shared" ref="V67:V100" si="60">STDEVA(P67:T67)</f>
        <v>1.0927254531013821</v>
      </c>
      <c r="W67" s="4"/>
      <c r="X67" s="4"/>
      <c r="Y67" s="4"/>
      <c r="Z67" s="5"/>
      <c r="AA67" s="5"/>
      <c r="AB67" s="5"/>
      <c r="AC67" s="5"/>
      <c r="AD67" s="5"/>
      <c r="AE67" s="5"/>
      <c r="AF67" s="5"/>
      <c r="AG67" s="2"/>
      <c r="AH67" s="2"/>
      <c r="AI67" s="2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t="14.25" customHeight="1">
      <c r="A68" s="8" t="s">
        <v>5</v>
      </c>
      <c r="B68" s="2">
        <v>0.15977844056242013</v>
      </c>
      <c r="C68" s="2">
        <v>0.12824623276691249</v>
      </c>
      <c r="D68" s="2">
        <v>0.14026758739749676</v>
      </c>
      <c r="E68" s="2">
        <v>0.12</v>
      </c>
      <c r="F68" s="2">
        <v>0.1609442060085837</v>
      </c>
      <c r="G68" s="41">
        <f t="shared" si="55"/>
        <v>0.14184729334708263</v>
      </c>
      <c r="H68" s="41">
        <f t="shared" si="56"/>
        <v>1.8378021248526735E-2</v>
      </c>
      <c r="I68" s="2">
        <v>0.12860357946629514</v>
      </c>
      <c r="J68" s="2">
        <v>0.21505376344086022</v>
      </c>
      <c r="K68" s="2">
        <v>0.2203525641025641</v>
      </c>
      <c r="L68" s="2">
        <v>0.21567993098242208</v>
      </c>
      <c r="M68" s="2">
        <v>0.17299167477565144</v>
      </c>
      <c r="N68" s="41">
        <f t="shared" si="57"/>
        <v>0.19053630255355861</v>
      </c>
      <c r="O68" s="41">
        <f t="shared" si="58"/>
        <v>3.9578382813591502E-2</v>
      </c>
      <c r="P68" s="2">
        <v>0.15024683408456752</v>
      </c>
      <c r="Q68" s="2">
        <v>0.20281810418445773</v>
      </c>
      <c r="R68" s="2">
        <v>0.17355461546805512</v>
      </c>
      <c r="S68" s="2">
        <v>0.21853146853146854</v>
      </c>
      <c r="T68" s="2">
        <v>0.19146899266035527</v>
      </c>
      <c r="U68" s="41">
        <f t="shared" si="59"/>
        <v>0.18732400298578084</v>
      </c>
      <c r="V68" s="41">
        <f t="shared" si="60"/>
        <v>2.6436085676045447E-2</v>
      </c>
      <c r="W68" s="4"/>
      <c r="X68" s="4"/>
      <c r="Y68" s="4"/>
      <c r="Z68" s="5"/>
      <c r="AA68" s="5"/>
      <c r="AB68" s="5"/>
      <c r="AC68" s="5"/>
      <c r="AD68" s="5"/>
      <c r="AE68" s="5"/>
      <c r="AF68" s="5"/>
      <c r="AG68" s="2"/>
      <c r="AH68" s="2"/>
      <c r="AI68" s="2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t="14.25" customHeight="1">
      <c r="A69" s="8" t="s">
        <v>7</v>
      </c>
      <c r="B69" s="2">
        <v>4.9424797613975286</v>
      </c>
      <c r="C69" s="2">
        <v>5.5359623811050556</v>
      </c>
      <c r="D69" s="2">
        <v>5.8912386706948636</v>
      </c>
      <c r="E69" s="2">
        <v>8.8025889967637543</v>
      </c>
      <c r="F69" s="2">
        <v>3.5836909871244633</v>
      </c>
      <c r="G69" s="41">
        <f t="shared" si="55"/>
        <v>5.7511921594171325</v>
      </c>
      <c r="H69" s="41">
        <f t="shared" si="56"/>
        <v>1.9189213517210022</v>
      </c>
      <c r="I69" s="2">
        <v>5.3156146179401995</v>
      </c>
      <c r="J69" s="2">
        <v>3.2795698924731185</v>
      </c>
      <c r="K69" s="2">
        <v>3.2952724358974357</v>
      </c>
      <c r="L69" s="2">
        <v>5.4890542435026415</v>
      </c>
      <c r="M69" s="2">
        <v>5.0924424262082386</v>
      </c>
      <c r="N69" s="41">
        <f t="shared" si="57"/>
        <v>4.4943907232043276</v>
      </c>
      <c r="O69" s="41">
        <f t="shared" si="58"/>
        <v>1.110754739028323</v>
      </c>
      <c r="P69" s="2">
        <v>3.3805537669027688</v>
      </c>
      <c r="Q69" s="2">
        <v>2.4231426131511529</v>
      </c>
      <c r="R69" s="2">
        <v>1.5511443757457426</v>
      </c>
      <c r="S69" s="2">
        <v>5.5725524475524475</v>
      </c>
      <c r="T69" s="2">
        <v>2.9890437187533241</v>
      </c>
      <c r="U69" s="41">
        <f t="shared" si="59"/>
        <v>3.1832873844210869</v>
      </c>
      <c r="V69" s="41">
        <f t="shared" si="60"/>
        <v>1.502243575728184</v>
      </c>
      <c r="W69" s="4"/>
      <c r="X69" s="4"/>
      <c r="Y69" s="4"/>
      <c r="Z69" s="5"/>
      <c r="AA69" s="5"/>
      <c r="AB69" s="5"/>
      <c r="AC69" s="5"/>
      <c r="AD69" s="5"/>
      <c r="AE69" s="5"/>
      <c r="AF69" s="5"/>
      <c r="AG69" s="2"/>
      <c r="AH69" s="2"/>
      <c r="AI69" s="2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14.25" customHeight="1">
      <c r="A70" s="8" t="s">
        <v>8</v>
      </c>
      <c r="B70" s="2">
        <v>19.652748189177675</v>
      </c>
      <c r="C70" s="2">
        <v>17.719354493961738</v>
      </c>
      <c r="D70" s="2">
        <v>15.332326283987914</v>
      </c>
      <c r="E70" s="2">
        <v>14.099244875943905</v>
      </c>
      <c r="F70" s="2">
        <v>19.549356223175966</v>
      </c>
      <c r="G70" s="41">
        <f t="shared" si="55"/>
        <v>17.270606013249441</v>
      </c>
      <c r="H70" s="41">
        <f t="shared" si="56"/>
        <v>2.4941500975580673</v>
      </c>
      <c r="I70" s="2">
        <v>17.479369842460613</v>
      </c>
      <c r="J70" s="2">
        <v>20.666666666666668</v>
      </c>
      <c r="K70" s="2">
        <v>21.834935897435898</v>
      </c>
      <c r="L70" s="2">
        <v>17.728890326755096</v>
      </c>
      <c r="M70" s="2">
        <v>17.68839874581036</v>
      </c>
      <c r="N70" s="41">
        <f t="shared" si="57"/>
        <v>19.079652295825728</v>
      </c>
      <c r="O70" s="41">
        <f t="shared" si="58"/>
        <v>2.0267739517903678</v>
      </c>
      <c r="P70" s="2">
        <v>19.489160764112469</v>
      </c>
      <c r="Q70" s="2">
        <v>21.594790777113577</v>
      </c>
      <c r="R70" s="2">
        <v>21.282134721770259</v>
      </c>
      <c r="S70" s="2">
        <v>16.652097902097903</v>
      </c>
      <c r="T70" s="2">
        <v>19.625571747686415</v>
      </c>
      <c r="U70" s="41">
        <f t="shared" si="59"/>
        <v>19.728751182556124</v>
      </c>
      <c r="V70" s="41">
        <f t="shared" si="60"/>
        <v>1.9639850534628531</v>
      </c>
      <c r="W70" s="4"/>
      <c r="X70" s="4"/>
      <c r="Y70" s="4"/>
      <c r="Z70" s="5"/>
      <c r="AA70" s="5"/>
      <c r="AB70" s="5"/>
      <c r="AC70" s="5"/>
      <c r="AD70" s="5"/>
      <c r="AE70" s="5"/>
      <c r="AF70" s="5"/>
      <c r="AG70" s="2"/>
      <c r="AH70" s="2"/>
      <c r="AI70" s="2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t="14.25" customHeight="1">
      <c r="A71" s="8" t="s">
        <v>9</v>
      </c>
      <c r="B71" s="2">
        <v>0.52194290583723901</v>
      </c>
      <c r="C71" s="2">
        <v>0.58779523351501561</v>
      </c>
      <c r="D71" s="2">
        <v>0.44238239102287436</v>
      </c>
      <c r="E71" s="2">
        <v>0.38834951456310679</v>
      </c>
      <c r="F71" s="2">
        <v>0.60085836909871249</v>
      </c>
      <c r="G71" s="41">
        <f t="shared" si="55"/>
        <v>0.50826568280738971</v>
      </c>
      <c r="H71" s="41">
        <f t="shared" si="56"/>
        <v>9.1931927211066342E-2</v>
      </c>
      <c r="I71" s="2">
        <v>0.503697352909656</v>
      </c>
      <c r="J71" s="2">
        <v>0.60215053763440873</v>
      </c>
      <c r="K71" s="2">
        <v>0.63100961538461531</v>
      </c>
      <c r="L71" s="2">
        <v>0.59311981020166082</v>
      </c>
      <c r="M71" s="2">
        <v>0.55141096334738893</v>
      </c>
      <c r="N71" s="41">
        <f t="shared" si="57"/>
        <v>0.57627765589554603</v>
      </c>
      <c r="O71" s="41">
        <f t="shared" si="58"/>
        <v>4.9585543105993724E-2</v>
      </c>
      <c r="P71" s="2">
        <v>0.52586391929598619</v>
      </c>
      <c r="Q71" s="2">
        <v>0.6725021349274124</v>
      </c>
      <c r="R71" s="2">
        <v>0.61828831760494629</v>
      </c>
      <c r="S71" s="2">
        <v>0.45891608391608396</v>
      </c>
      <c r="T71" s="2">
        <v>0.78715030315923828</v>
      </c>
      <c r="U71" s="41">
        <f t="shared" si="59"/>
        <v>0.6125441517807334</v>
      </c>
      <c r="V71" s="41">
        <f t="shared" si="60"/>
        <v>0.12770112491936225</v>
      </c>
      <c r="W71" s="4"/>
      <c r="X71" s="4"/>
      <c r="Y71" s="4"/>
      <c r="Z71" s="5"/>
      <c r="AA71" s="5"/>
      <c r="AB71" s="5"/>
      <c r="AC71" s="5"/>
      <c r="AD71" s="5"/>
      <c r="AE71" s="5"/>
      <c r="AF71" s="5"/>
      <c r="AG71" s="2"/>
      <c r="AH71" s="2"/>
      <c r="AI71" s="2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t="14.25" customHeight="1">
      <c r="A72" s="8" t="s">
        <v>10</v>
      </c>
      <c r="B72" s="2">
        <v>1.8960374946740521</v>
      </c>
      <c r="C72" s="2">
        <v>1.6244522817142248</v>
      </c>
      <c r="D72" s="2">
        <v>1.4889943892965041</v>
      </c>
      <c r="E72" s="2">
        <v>0.55016181229773464</v>
      </c>
      <c r="F72" s="2">
        <v>1.8884120171673819</v>
      </c>
      <c r="G72" s="41">
        <f t="shared" si="55"/>
        <v>1.4896115990299796</v>
      </c>
      <c r="H72" s="41">
        <f t="shared" si="56"/>
        <v>0.55339228278918939</v>
      </c>
      <c r="I72" s="2">
        <v>1.5968277783731646</v>
      </c>
      <c r="J72" s="2">
        <v>2.236559139784946</v>
      </c>
      <c r="K72" s="2">
        <v>2.1935096153846154</v>
      </c>
      <c r="L72" s="2">
        <v>2.2646392753154316</v>
      </c>
      <c r="M72" s="2">
        <v>1.3839333982052116</v>
      </c>
      <c r="N72" s="41">
        <f t="shared" si="57"/>
        <v>1.9350938414126737</v>
      </c>
      <c r="O72" s="41">
        <f t="shared" si="58"/>
        <v>0.41366109163397702</v>
      </c>
      <c r="P72" s="2">
        <v>1.6419832582099161</v>
      </c>
      <c r="Q72" s="2">
        <v>2.2309991460290348</v>
      </c>
      <c r="R72" s="2">
        <v>1.8982536066818527</v>
      </c>
      <c r="S72" s="2">
        <v>0.86319930069930073</v>
      </c>
      <c r="T72" s="2">
        <v>2.1593447505584509</v>
      </c>
      <c r="U72" s="41">
        <f t="shared" si="59"/>
        <v>1.7587560124357111</v>
      </c>
      <c r="V72" s="41">
        <f t="shared" si="60"/>
        <v>0.55195158148221701</v>
      </c>
      <c r="W72" s="4"/>
      <c r="X72" s="4"/>
      <c r="Y72" s="4"/>
      <c r="Z72" s="5"/>
      <c r="AA72" s="5"/>
      <c r="AB72" s="5"/>
      <c r="AC72" s="5"/>
      <c r="AD72" s="5"/>
      <c r="AE72" s="5"/>
      <c r="AF72" s="5"/>
      <c r="AG72" s="2"/>
      <c r="AH72" s="2"/>
      <c r="AI72" s="2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t="14.25" customHeight="1">
      <c r="A73" s="8" t="s">
        <v>12</v>
      </c>
      <c r="B73" s="2">
        <v>0.2130379207498935</v>
      </c>
      <c r="C73" s="2">
        <v>0.22443090734209684</v>
      </c>
      <c r="D73" s="2">
        <v>0.19421665947345704</v>
      </c>
      <c r="E73" s="2">
        <v>0.30204962243797195</v>
      </c>
      <c r="F73" s="2">
        <v>0.22532188841201717</v>
      </c>
      <c r="G73" s="41">
        <f t="shared" si="55"/>
        <v>0.23181139968308734</v>
      </c>
      <c r="H73" s="41">
        <f t="shared" si="56"/>
        <v>4.1218325300108216E-2</v>
      </c>
      <c r="I73" s="2">
        <v>0.19290536919944271</v>
      </c>
      <c r="J73" s="2">
        <v>0.22580645161290322</v>
      </c>
      <c r="K73" s="2">
        <v>0.25040064102564102</v>
      </c>
      <c r="L73" s="2">
        <v>0.19411193788417988</v>
      </c>
      <c r="M73" s="2">
        <v>0.28111147151043359</v>
      </c>
      <c r="N73" s="41">
        <f t="shared" si="57"/>
        <v>0.22886717424652009</v>
      </c>
      <c r="O73" s="41">
        <f t="shared" si="58"/>
        <v>3.7761431011065161E-2</v>
      </c>
      <c r="P73" s="2">
        <v>0.25756600128782997</v>
      </c>
      <c r="Q73" s="2">
        <v>0.2561912894961571</v>
      </c>
      <c r="R73" s="2">
        <v>0.24948475973532921</v>
      </c>
      <c r="S73" s="2">
        <v>0.24038461538461539</v>
      </c>
      <c r="T73" s="2">
        <v>0.22338049143708114</v>
      </c>
      <c r="U73" s="41">
        <f t="shared" si="59"/>
        <v>0.24540143146820256</v>
      </c>
      <c r="V73" s="41">
        <f t="shared" si="60"/>
        <v>1.4063797570072475E-2</v>
      </c>
      <c r="W73" s="4"/>
      <c r="X73" s="4"/>
      <c r="Y73" s="4"/>
      <c r="Z73" s="5"/>
      <c r="AA73" s="5"/>
      <c r="AB73" s="5"/>
      <c r="AC73" s="5"/>
      <c r="AD73" s="5"/>
      <c r="AE73" s="5"/>
      <c r="AF73" s="5"/>
      <c r="AG73" s="2"/>
      <c r="AH73" s="2"/>
      <c r="AI73" s="2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t="14.25" customHeight="1">
      <c r="A74" s="8" t="s">
        <v>13</v>
      </c>
      <c r="B74" s="2">
        <v>0.1704303365999148</v>
      </c>
      <c r="C74" s="2">
        <v>0.16030779095864059</v>
      </c>
      <c r="D74" s="2">
        <v>0.17263703064307293</v>
      </c>
      <c r="E74" s="2">
        <v>0.1941747572815534</v>
      </c>
      <c r="F74" s="2">
        <v>0.18240343347639484</v>
      </c>
      <c r="G74" s="41">
        <f t="shared" si="55"/>
        <v>0.1759906697919153</v>
      </c>
      <c r="H74" s="41">
        <f t="shared" si="56"/>
        <v>1.2844273676912203E-2</v>
      </c>
      <c r="I74" s="2">
        <v>0.10716964955524595</v>
      </c>
      <c r="J74" s="2">
        <v>0.20430107526881722</v>
      </c>
      <c r="K74" s="2">
        <v>0.2203525641025641</v>
      </c>
      <c r="L74" s="2">
        <v>0.20489593443330098</v>
      </c>
      <c r="M74" s="2">
        <v>0.19461563412260785</v>
      </c>
      <c r="N74" s="41">
        <f t="shared" si="57"/>
        <v>0.18626697149650723</v>
      </c>
      <c r="O74" s="41">
        <f t="shared" si="58"/>
        <v>4.5166860883287405E-2</v>
      </c>
      <c r="P74" s="2">
        <v>0.18244258424554624</v>
      </c>
      <c r="Q74" s="2">
        <v>0.14944491887275835</v>
      </c>
      <c r="R74" s="2">
        <v>0.17355461546805512</v>
      </c>
      <c r="S74" s="2">
        <v>0.16</v>
      </c>
      <c r="T74" s="2">
        <v>0.19146899266035527</v>
      </c>
      <c r="U74" s="41">
        <f t="shared" si="59"/>
        <v>0.17138222224934302</v>
      </c>
      <c r="V74" s="41">
        <f t="shared" si="60"/>
        <v>1.6891784305530254E-2</v>
      </c>
      <c r="W74" s="4"/>
      <c r="X74" s="4"/>
      <c r="Y74" s="4"/>
      <c r="Z74" s="5"/>
      <c r="AA74" s="5"/>
      <c r="AB74" s="5"/>
      <c r="AC74" s="5"/>
      <c r="AD74" s="5"/>
      <c r="AE74" s="5"/>
      <c r="AF74" s="5"/>
      <c r="AG74" s="2"/>
      <c r="AH74" s="2"/>
      <c r="AI74" s="2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t="14.25" customHeight="1">
      <c r="A75" s="8" t="s">
        <v>15</v>
      </c>
      <c r="B75" s="2">
        <v>1.0012782275244994</v>
      </c>
      <c r="C75" s="2">
        <v>0.94047237362402492</v>
      </c>
      <c r="D75" s="2">
        <v>1.0142425550280534</v>
      </c>
      <c r="E75" s="2">
        <v>2.0496224379719523</v>
      </c>
      <c r="F75" s="2">
        <v>0.72961373390557938</v>
      </c>
      <c r="G75" s="41">
        <f t="shared" si="55"/>
        <v>1.147045865610822</v>
      </c>
      <c r="H75" s="41">
        <f t="shared" si="56"/>
        <v>0.51731315099313302</v>
      </c>
      <c r="I75" s="2">
        <v>1.0395456006858856</v>
      </c>
      <c r="J75" s="2">
        <v>0.64516129032258063</v>
      </c>
      <c r="K75" s="2">
        <v>0.6109775641025641</v>
      </c>
      <c r="L75" s="2">
        <v>0.89507171357705162</v>
      </c>
      <c r="M75" s="2">
        <v>0.88658233322521363</v>
      </c>
      <c r="N75" s="41">
        <f t="shared" si="57"/>
        <v>0.81546770038265903</v>
      </c>
      <c r="O75" s="41">
        <f t="shared" si="58"/>
        <v>0.18195156255765699</v>
      </c>
      <c r="P75" s="2">
        <v>0.78342992058381622</v>
      </c>
      <c r="Q75" s="2">
        <v>0.51238257899231421</v>
      </c>
      <c r="R75" s="2">
        <v>0.3037205770690965</v>
      </c>
      <c r="S75" s="2">
        <v>1.1909965034965038</v>
      </c>
      <c r="T75" s="2">
        <v>0.55313264546324858</v>
      </c>
      <c r="U75" s="41">
        <f t="shared" si="59"/>
        <v>0.66873244512099583</v>
      </c>
      <c r="V75" s="41">
        <f t="shared" si="60"/>
        <v>0.3379931640161179</v>
      </c>
      <c r="W75" s="4"/>
      <c r="X75" s="4"/>
      <c r="Y75" s="4"/>
      <c r="Z75" s="5"/>
      <c r="AA75" s="5"/>
      <c r="AB75" s="5"/>
      <c r="AC75" s="5"/>
      <c r="AD75" s="5"/>
      <c r="AE75" s="5"/>
      <c r="AF75" s="5"/>
      <c r="AG75" s="2"/>
      <c r="AH75" s="2"/>
      <c r="AI75" s="2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t="14.25" customHeight="1">
      <c r="A76" s="8" t="s">
        <v>16</v>
      </c>
      <c r="B76" s="2">
        <v>1.246271836386877</v>
      </c>
      <c r="C76" s="2">
        <v>1.0473442342631185</v>
      </c>
      <c r="D76" s="2">
        <v>1.0681916271040137</v>
      </c>
      <c r="E76" s="2">
        <v>1.6504854368932038</v>
      </c>
      <c r="F76" s="2">
        <v>0.90128755364806867</v>
      </c>
      <c r="G76" s="41">
        <f t="shared" si="55"/>
        <v>1.1827161376590563</v>
      </c>
      <c r="H76" s="41">
        <f t="shared" si="56"/>
        <v>0.28874335827518566</v>
      </c>
      <c r="I76" s="2">
        <v>1.3932054442181974</v>
      </c>
      <c r="J76" s="2">
        <v>0.81720430107526887</v>
      </c>
      <c r="K76" s="2">
        <v>0.65104166666666663</v>
      </c>
      <c r="L76" s="2">
        <v>1.1646716273050792</v>
      </c>
      <c r="M76" s="2">
        <v>0.99470212995999574</v>
      </c>
      <c r="N76" s="41">
        <f t="shared" si="57"/>
        <v>1.0041650338450414</v>
      </c>
      <c r="O76" s="41">
        <f t="shared" si="58"/>
        <v>0.29019596053468816</v>
      </c>
      <c r="P76" s="2">
        <v>0.85855333762609998</v>
      </c>
      <c r="Q76" s="2">
        <v>0.62980358667805292</v>
      </c>
      <c r="R76" s="2">
        <v>0.43388653867013777</v>
      </c>
      <c r="S76" s="2">
        <v>1.5625</v>
      </c>
      <c r="T76" s="2">
        <v>0.7658759706414211</v>
      </c>
      <c r="U76" s="41">
        <f t="shared" si="59"/>
        <v>0.85012388672314232</v>
      </c>
      <c r="V76" s="41">
        <f t="shared" si="60"/>
        <v>0.42908130298937436</v>
      </c>
      <c r="W76" s="4"/>
      <c r="X76" s="4"/>
      <c r="Y76" s="4"/>
      <c r="Z76" s="5"/>
      <c r="AA76" s="5"/>
      <c r="AB76" s="5"/>
      <c r="AC76" s="5"/>
      <c r="AD76" s="5"/>
      <c r="AE76" s="5"/>
      <c r="AF76" s="5"/>
      <c r="AG76" s="2"/>
      <c r="AH76" s="2"/>
      <c r="AI76" s="2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t="14.5">
      <c r="A77" s="8" t="s">
        <v>19</v>
      </c>
      <c r="B77" s="2">
        <v>9.0541116318704731</v>
      </c>
      <c r="C77" s="2">
        <v>9.5543443411349802</v>
      </c>
      <c r="D77" s="2">
        <v>10.725075528700906</v>
      </c>
      <c r="E77" s="2">
        <v>13.214670981661273</v>
      </c>
      <c r="F77" s="2">
        <v>9.6781115879828317</v>
      </c>
      <c r="G77" s="41">
        <f>AVERAGE(B77:F77)</f>
        <v>10.445262814270093</v>
      </c>
      <c r="H77" s="41">
        <f t="shared" si="56"/>
        <v>1.6632404437444905</v>
      </c>
      <c r="I77" s="2">
        <v>9.3559104061729723</v>
      </c>
      <c r="J77" s="2">
        <v>8.4516129032258061</v>
      </c>
      <c r="K77" s="2">
        <v>7.7223557692307692</v>
      </c>
      <c r="L77" s="2">
        <v>7.8723174808584062</v>
      </c>
      <c r="M77" s="2">
        <v>10.152448913396043</v>
      </c>
      <c r="N77" s="41">
        <f t="shared" si="57"/>
        <v>8.7109290945767999</v>
      </c>
      <c r="O77" s="41">
        <f t="shared" si="58"/>
        <v>1.0297781102867343</v>
      </c>
      <c r="P77" s="2">
        <v>10.667525220004292</v>
      </c>
      <c r="Q77" s="2">
        <v>9.2976088812980358</v>
      </c>
      <c r="R77" s="2">
        <v>9.9685432259464157</v>
      </c>
      <c r="S77" s="2">
        <v>10.303758741258742</v>
      </c>
      <c r="T77" s="2">
        <v>9.6798212956068497</v>
      </c>
      <c r="U77" s="41">
        <f t="shared" si="59"/>
        <v>9.9834514728228676</v>
      </c>
      <c r="V77" s="41">
        <f>STDEVA(P77:T77)</f>
        <v>0.53229391281658078</v>
      </c>
      <c r="W77" s="4"/>
      <c r="X77" s="4"/>
      <c r="Y77" s="4"/>
      <c r="Z77" s="5"/>
      <c r="AA77" s="5"/>
      <c r="AB77" s="5"/>
      <c r="AC77" s="5"/>
      <c r="AD77" s="5"/>
      <c r="AE77" s="5"/>
      <c r="AF77" s="5"/>
      <c r="AG77" s="2"/>
      <c r="AH77" s="2"/>
      <c r="AI77" s="2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t="14.25" customHeight="1">
      <c r="A78" s="8" t="s">
        <v>20</v>
      </c>
      <c r="B78" s="2">
        <v>25.532594801874733</v>
      </c>
      <c r="C78" s="2">
        <v>25.862990274660685</v>
      </c>
      <c r="D78" s="2">
        <v>20.576176089771256</v>
      </c>
      <c r="E78" s="2">
        <v>13.581445523193096</v>
      </c>
      <c r="F78" s="2">
        <v>29.087982832618025</v>
      </c>
      <c r="G78" s="41">
        <f t="shared" si="55"/>
        <v>22.928237904423561</v>
      </c>
      <c r="H78" s="41">
        <f t="shared" si="56"/>
        <v>6.0463341476903327</v>
      </c>
      <c r="I78" s="2">
        <v>24.434680098596075</v>
      </c>
      <c r="J78" s="2">
        <v>29.978494623655912</v>
      </c>
      <c r="K78" s="2">
        <v>28.555689102564102</v>
      </c>
      <c r="L78" s="2">
        <v>22.409144829073654</v>
      </c>
      <c r="M78" s="2">
        <v>22.888960968753381</v>
      </c>
      <c r="N78" s="41">
        <f t="shared" si="57"/>
        <v>25.653393924528622</v>
      </c>
      <c r="O78" s="41">
        <f t="shared" si="58"/>
        <v>3.4198800603199513</v>
      </c>
      <c r="P78" s="2">
        <v>27.967374973170205</v>
      </c>
      <c r="Q78" s="2">
        <v>31.863791631084542</v>
      </c>
      <c r="R78" s="2">
        <v>26.543009003145677</v>
      </c>
      <c r="S78" s="2">
        <v>16.947115384615387</v>
      </c>
      <c r="T78" s="2">
        <v>31.326454632485905</v>
      </c>
      <c r="U78" s="41">
        <f t="shared" si="59"/>
        <v>26.92954912490034</v>
      </c>
      <c r="V78" s="41">
        <f t="shared" si="60"/>
        <v>6.0115515112305689</v>
      </c>
      <c r="W78" s="4"/>
      <c r="X78" s="4"/>
      <c r="Y78" s="4"/>
      <c r="Z78" s="5"/>
      <c r="AA78" s="5"/>
      <c r="AB78" s="5"/>
      <c r="AC78" s="5"/>
      <c r="AD78" s="5"/>
      <c r="AE78" s="5"/>
      <c r="AF78" s="5"/>
      <c r="AG78" s="2"/>
      <c r="AH78" s="2"/>
      <c r="AI78" s="2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t="14.25" customHeight="1">
      <c r="A79" s="8" t="s">
        <v>21</v>
      </c>
      <c r="B79" s="2">
        <v>2.7801448657861099</v>
      </c>
      <c r="C79" s="2">
        <v>2.6397349577856155</v>
      </c>
      <c r="D79" s="2">
        <v>3.7224859732412598</v>
      </c>
      <c r="E79" s="2">
        <v>3.7324703344120818</v>
      </c>
      <c r="F79" s="2">
        <v>2.7360515021459224</v>
      </c>
      <c r="G79" s="41">
        <f t="shared" si="55"/>
        <v>3.1221775266741978</v>
      </c>
      <c r="H79" s="41">
        <f t="shared" si="56"/>
        <v>0.55490044656775162</v>
      </c>
      <c r="I79" s="2">
        <v>3.0329010824134603</v>
      </c>
      <c r="J79" s="2">
        <v>2.5161290322580645</v>
      </c>
      <c r="K79" s="2">
        <v>2.6842948717948718</v>
      </c>
      <c r="L79" s="2">
        <v>3.5695028577590855</v>
      </c>
      <c r="M79" s="2">
        <v>3.524705373553898</v>
      </c>
      <c r="N79" s="41">
        <f t="shared" si="57"/>
        <v>3.0655066435558758</v>
      </c>
      <c r="O79" s="41">
        <f t="shared" si="58"/>
        <v>0.47777530150292358</v>
      </c>
      <c r="P79" s="2">
        <v>3.4342133505043999</v>
      </c>
      <c r="Q79" s="2">
        <v>3.0956447480785649</v>
      </c>
      <c r="R79" s="2">
        <v>3.8941316845644867</v>
      </c>
      <c r="S79" s="2">
        <v>3.5402097902097904</v>
      </c>
      <c r="T79" s="2">
        <v>3.5953621955111155</v>
      </c>
      <c r="U79" s="41">
        <f t="shared" si="59"/>
        <v>3.5119123537736714</v>
      </c>
      <c r="V79" s="41">
        <f t="shared" si="60"/>
        <v>0.28860530681417407</v>
      </c>
      <c r="W79" s="4"/>
      <c r="X79" s="4"/>
      <c r="Y79" s="4"/>
      <c r="Z79" s="5"/>
      <c r="AA79" s="5"/>
      <c r="AB79" s="5"/>
      <c r="AC79" s="5"/>
      <c r="AD79" s="5"/>
      <c r="AE79" s="5"/>
      <c r="AF79" s="5"/>
      <c r="AG79" s="2"/>
      <c r="AH79" s="2"/>
      <c r="AI79" s="2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t="14.25" customHeight="1">
      <c r="A80" s="1" t="s">
        <v>23</v>
      </c>
      <c r="B80" s="2">
        <v>16.457179377929272</v>
      </c>
      <c r="C80" s="2">
        <v>18.136154750454207</v>
      </c>
      <c r="D80" s="2">
        <v>22.129909365558913</v>
      </c>
      <c r="E80" s="2">
        <v>16.407766990291261</v>
      </c>
      <c r="F80" s="2">
        <v>14.881974248927039</v>
      </c>
      <c r="G80" s="41">
        <f t="shared" si="55"/>
        <v>17.60259694663214</v>
      </c>
      <c r="H80" s="41">
        <f t="shared" si="56"/>
        <v>2.7804059758926849</v>
      </c>
      <c r="I80" s="2">
        <v>15.110920587289678</v>
      </c>
      <c r="J80" s="2">
        <v>13.258064516129032</v>
      </c>
      <c r="K80" s="2">
        <v>13.361378205128204</v>
      </c>
      <c r="L80" s="2">
        <v>16.251482799525505</v>
      </c>
      <c r="M80" s="2">
        <v>16.326089306952102</v>
      </c>
      <c r="N80" s="41">
        <f t="shared" si="57"/>
        <v>14.861587083004903</v>
      </c>
      <c r="O80" s="41">
        <f t="shared" si="58"/>
        <v>1.496717689048922</v>
      </c>
      <c r="P80" s="2">
        <v>13.640266151534663</v>
      </c>
      <c r="Q80" s="2">
        <v>11.720751494449187</v>
      </c>
      <c r="R80" s="2">
        <v>16.010413276928084</v>
      </c>
      <c r="S80" s="2">
        <v>18.509615384615387</v>
      </c>
      <c r="T80" s="2">
        <v>12.38166152536964</v>
      </c>
      <c r="U80" s="41">
        <f t="shared" si="59"/>
        <v>14.452541566579393</v>
      </c>
      <c r="V80" s="41">
        <f t="shared" si="60"/>
        <v>2.7972229408850287</v>
      </c>
      <c r="W80" s="4"/>
      <c r="X80" s="4"/>
      <c r="Y80" s="4"/>
      <c r="Z80" s="5"/>
      <c r="AA80" s="5"/>
      <c r="AB80" s="5"/>
      <c r="AC80" s="5"/>
      <c r="AD80" s="5"/>
      <c r="AE80" s="5"/>
      <c r="AF80" s="5"/>
      <c r="AG80" s="2"/>
      <c r="AH80" s="2"/>
      <c r="AI80" s="2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t="14.25" customHeight="1">
      <c r="A81" s="1" t="s">
        <v>24</v>
      </c>
      <c r="B81" s="2">
        <v>0.15977844056242013</v>
      </c>
      <c r="C81" s="2">
        <v>0.16030779095864059</v>
      </c>
      <c r="D81" s="2">
        <v>0.21579628830384115</v>
      </c>
      <c r="E81" s="2">
        <v>0.10787486515641855</v>
      </c>
      <c r="F81" s="2">
        <v>0.22532188841201717</v>
      </c>
      <c r="G81" s="41">
        <f t="shared" si="55"/>
        <v>0.1738158546786675</v>
      </c>
      <c r="H81" s="41">
        <f t="shared" si="56"/>
        <v>4.7809411202207948E-2</v>
      </c>
      <c r="I81" s="2">
        <v>0.30007501875468873</v>
      </c>
      <c r="J81" s="2">
        <v>0.19354838709677419</v>
      </c>
      <c r="K81" s="2">
        <v>0.24038461538461536</v>
      </c>
      <c r="L81" s="2">
        <v>0.18332794133505875</v>
      </c>
      <c r="M81" s="2">
        <v>0.20542761379608607</v>
      </c>
      <c r="N81" s="41">
        <f t="shared" si="57"/>
        <v>0.22455271527344461</v>
      </c>
      <c r="O81" s="41">
        <f t="shared" si="58"/>
        <v>4.7383507792058362E-2</v>
      </c>
      <c r="P81" s="2">
        <v>0.5687915861772912</v>
      </c>
      <c r="Q81" s="2">
        <v>0.44833475661827493</v>
      </c>
      <c r="R81" s="2">
        <v>0.607441154138193</v>
      </c>
      <c r="S81" s="2">
        <v>0.64466783216783219</v>
      </c>
      <c r="T81" s="2">
        <v>0.47867248165088816</v>
      </c>
      <c r="U81" s="41">
        <f t="shared" si="59"/>
        <v>0.54958156215049592</v>
      </c>
      <c r="V81" s="41">
        <f t="shared" si="60"/>
        <v>8.3721516770902282E-2</v>
      </c>
      <c r="W81" s="4"/>
      <c r="X81" s="4"/>
      <c r="Y81" s="4"/>
      <c r="Z81" s="5"/>
      <c r="AA81" s="5"/>
      <c r="AB81" s="5"/>
      <c r="AC81" s="5"/>
      <c r="AD81" s="5"/>
      <c r="AE81" s="5"/>
      <c r="AF81" s="5"/>
      <c r="AG81" s="2"/>
      <c r="AH81" s="2"/>
      <c r="AI81" s="2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t="14.25" customHeight="1">
      <c r="A82" s="1" t="s">
        <v>27</v>
      </c>
      <c r="B82" s="2">
        <v>0.60715807413719636</v>
      </c>
      <c r="C82" s="2">
        <v>0.75879021053756557</v>
      </c>
      <c r="D82" s="2">
        <v>1.1221406991799741</v>
      </c>
      <c r="E82" s="2">
        <v>0.49622437971952532</v>
      </c>
      <c r="F82" s="2">
        <v>0.74034334763948495</v>
      </c>
      <c r="G82" s="41">
        <f t="shared" si="55"/>
        <v>0.74493134224274926</v>
      </c>
      <c r="H82" s="41">
        <f t="shared" si="56"/>
        <v>0.23629253241369058</v>
      </c>
      <c r="I82" s="2">
        <v>1.9933554817275747</v>
      </c>
      <c r="J82" s="2">
        <v>2.752688172043011</v>
      </c>
      <c r="K82" s="2">
        <v>2.4238782051282048</v>
      </c>
      <c r="L82" s="2">
        <v>3.6126388439555699</v>
      </c>
      <c r="M82" s="2">
        <v>3.0273543085739001</v>
      </c>
      <c r="N82" s="41">
        <f t="shared" si="57"/>
        <v>2.7619830022856524</v>
      </c>
      <c r="O82" s="41">
        <f t="shared" si="58"/>
        <v>0.61221458743190282</v>
      </c>
      <c r="P82" s="2">
        <v>2.2322386778278598</v>
      </c>
      <c r="Q82" s="2">
        <v>1.5905209222886421</v>
      </c>
      <c r="R82" s="2">
        <v>2.180279856817442</v>
      </c>
      <c r="S82" s="2">
        <v>2.0760489510489513</v>
      </c>
      <c r="T82" s="2">
        <v>1.5955749388362939</v>
      </c>
      <c r="U82" s="41">
        <f t="shared" si="59"/>
        <v>1.9349326693638378</v>
      </c>
      <c r="V82" s="41">
        <f t="shared" si="60"/>
        <v>0.31712892914752772</v>
      </c>
      <c r="W82" s="4"/>
      <c r="X82" s="4"/>
      <c r="Y82" s="4"/>
      <c r="Z82" s="5"/>
      <c r="AA82" s="5"/>
      <c r="AB82" s="5"/>
      <c r="AC82" s="5"/>
      <c r="AD82" s="5"/>
      <c r="AE82" s="5"/>
      <c r="AF82" s="5"/>
      <c r="AG82" s="2"/>
      <c r="AH82" s="2"/>
      <c r="AI82" s="2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ht="14.25" customHeight="1">
      <c r="A83" s="1" t="s">
        <v>28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41">
        <f t="shared" si="55"/>
        <v>0</v>
      </c>
      <c r="H83" s="41">
        <f t="shared" si="56"/>
        <v>0</v>
      </c>
      <c r="I83" s="2">
        <v>0.2036223341549673</v>
      </c>
      <c r="J83" s="2">
        <v>0.10752688172043011</v>
      </c>
      <c r="K83" s="2">
        <v>0.14022435897435898</v>
      </c>
      <c r="L83" s="2">
        <v>0.10783996549121104</v>
      </c>
      <c r="M83" s="2">
        <v>0.18380365444912963</v>
      </c>
      <c r="N83" s="41">
        <f t="shared" si="57"/>
        <v>0.14860343895801939</v>
      </c>
      <c r="O83" s="41">
        <f t="shared" si="58"/>
        <v>4.3832885212640546E-2</v>
      </c>
      <c r="P83" s="2">
        <v>0.44000858553337624</v>
      </c>
      <c r="Q83" s="2">
        <v>0.38428693424423566</v>
      </c>
      <c r="R83" s="2">
        <v>0.39049788480312397</v>
      </c>
      <c r="S83" s="2">
        <v>0.28409090909090912</v>
      </c>
      <c r="T83" s="2">
        <v>0.38293798532071055</v>
      </c>
      <c r="U83" s="41">
        <f t="shared" si="59"/>
        <v>0.37636445979847111</v>
      </c>
      <c r="V83" s="41">
        <f t="shared" si="60"/>
        <v>5.6724583388155003E-2</v>
      </c>
      <c r="W83" s="4"/>
      <c r="X83" s="4"/>
      <c r="Y83" s="4"/>
      <c r="Z83" s="5"/>
      <c r="AA83" s="5"/>
      <c r="AB83" s="5"/>
      <c r="AC83" s="5"/>
      <c r="AD83" s="5"/>
      <c r="AE83" s="5"/>
      <c r="AF83" s="5"/>
      <c r="AG83" s="2"/>
      <c r="AH83" s="2"/>
      <c r="AI83" s="2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ht="14.25" customHeight="1">
      <c r="A84" s="8" t="s">
        <v>29</v>
      </c>
      <c r="B84" s="2">
        <v>0.13847464848743077</v>
      </c>
      <c r="C84" s="2">
        <v>0.11755904670300311</v>
      </c>
      <c r="D84" s="2">
        <v>0.23737591713422526</v>
      </c>
      <c r="E84" s="2">
        <v>0.18338727076591155</v>
      </c>
      <c r="F84" s="2">
        <v>9.6566523605150209E-2</v>
      </c>
      <c r="G84" s="41">
        <f t="shared" si="55"/>
        <v>0.15467268133914419</v>
      </c>
      <c r="H84" s="41">
        <f t="shared" si="56"/>
        <v>5.6303811078164477E-2</v>
      </c>
      <c r="I84" s="2">
        <v>0.10716964955524595</v>
      </c>
      <c r="J84" s="2">
        <v>0.10752688172043011</v>
      </c>
      <c r="K84" s="2">
        <v>0.1001602564102564</v>
      </c>
      <c r="L84" s="2">
        <v>0.10783996549121104</v>
      </c>
      <c r="M84" s="2">
        <v>0.10811979673478214</v>
      </c>
      <c r="N84" s="41">
        <f t="shared" si="57"/>
        <v>0.10616330998238513</v>
      </c>
      <c r="O84" s="41">
        <f t="shared" si="58"/>
        <v>3.3744523080838419E-3</v>
      </c>
      <c r="P84" s="2">
        <v>0.1073191672032625</v>
      </c>
      <c r="Q84" s="2">
        <v>0.1067463706233988</v>
      </c>
      <c r="R84" s="2">
        <v>0.10847163466753444</v>
      </c>
      <c r="S84" s="2">
        <v>0.10926573426573427</v>
      </c>
      <c r="T84" s="2">
        <v>0.10637166258908626</v>
      </c>
      <c r="U84" s="41">
        <f t="shared" si="59"/>
        <v>0.10763491386980326</v>
      </c>
      <c r="V84" s="41">
        <f t="shared" si="60"/>
        <v>1.2087892406801336E-3</v>
      </c>
      <c r="W84" s="4"/>
      <c r="X84" s="4"/>
      <c r="Y84" s="4"/>
      <c r="Z84" s="5"/>
      <c r="AA84" s="5"/>
      <c r="AB84" s="5"/>
      <c r="AC84" s="5"/>
      <c r="AD84" s="5"/>
      <c r="AE84" s="5"/>
      <c r="AF84" s="5"/>
      <c r="AG84" s="2"/>
      <c r="AH84" s="2"/>
      <c r="AI84" s="2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ht="14.25" customHeight="1">
      <c r="A85" s="8" t="s">
        <v>31</v>
      </c>
      <c r="B85" s="2">
        <v>0.2130379207498935</v>
      </c>
      <c r="C85" s="2">
        <v>0.22443090734209684</v>
      </c>
      <c r="D85" s="2">
        <v>0.15105740181268884</v>
      </c>
      <c r="E85" s="2">
        <v>0.25889967637540451</v>
      </c>
      <c r="F85" s="2">
        <v>0.12875536480686695</v>
      </c>
      <c r="G85" s="41">
        <f t="shared" si="55"/>
        <v>0.19523625421739013</v>
      </c>
      <c r="H85" s="41">
        <f t="shared" si="56"/>
        <v>5.383711099206228E-2</v>
      </c>
      <c r="I85" s="2">
        <v>0.2143392991104919</v>
      </c>
      <c r="J85" s="2">
        <v>0.23655913978494625</v>
      </c>
      <c r="K85" s="2">
        <v>0.19030448717948717</v>
      </c>
      <c r="L85" s="2">
        <v>0.20489593443330098</v>
      </c>
      <c r="M85" s="2">
        <v>0.24867553248999894</v>
      </c>
      <c r="N85" s="41">
        <f t="shared" si="57"/>
        <v>0.21895487859964505</v>
      </c>
      <c r="O85" s="41">
        <f t="shared" si="58"/>
        <v>2.3627471792237089E-2</v>
      </c>
      <c r="P85" s="2">
        <v>0.21463833440652499</v>
      </c>
      <c r="Q85" s="2">
        <v>0.22416737830913747</v>
      </c>
      <c r="R85" s="2">
        <v>0.22779043280182232</v>
      </c>
      <c r="S85" s="2">
        <v>0.27316433566433568</v>
      </c>
      <c r="T85" s="2">
        <v>0.21274332517817252</v>
      </c>
      <c r="U85" s="41">
        <f t="shared" si="59"/>
        <v>0.23050076127199862</v>
      </c>
      <c r="V85" s="41">
        <f t="shared" si="60"/>
        <v>2.4670738349256007E-2</v>
      </c>
      <c r="W85" s="4"/>
      <c r="X85" s="4"/>
      <c r="Y85" s="4"/>
      <c r="Z85" s="5"/>
      <c r="AA85" s="5"/>
      <c r="AB85" s="5"/>
      <c r="AC85" s="5"/>
      <c r="AD85" s="5"/>
      <c r="AE85" s="5"/>
      <c r="AF85" s="5"/>
      <c r="AG85" s="2"/>
      <c r="AH85" s="2"/>
      <c r="AI85" s="2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ht="14.25" customHeight="1">
      <c r="A86" s="8" t="s">
        <v>32</v>
      </c>
      <c r="B86" s="2">
        <v>0.36216446527481894</v>
      </c>
      <c r="C86" s="2">
        <v>0.39542588436464682</v>
      </c>
      <c r="D86" s="2">
        <v>0.30211480362537768</v>
      </c>
      <c r="E86" s="2">
        <v>0.90614886731391586</v>
      </c>
      <c r="F86" s="2">
        <v>0.45064377682403434</v>
      </c>
      <c r="G86" s="41">
        <f t="shared" si="55"/>
        <v>0.48329955948055875</v>
      </c>
      <c r="H86" s="41">
        <f t="shared" si="56"/>
        <v>0.24243109683834463</v>
      </c>
      <c r="I86" s="2">
        <v>0.35365984353231161</v>
      </c>
      <c r="J86" s="2">
        <v>0.26881720430107525</v>
      </c>
      <c r="K86" s="2">
        <v>0.29046474358974356</v>
      </c>
      <c r="L86" s="2">
        <v>0.35587188612099641</v>
      </c>
      <c r="M86" s="2">
        <v>0.27029949183695534</v>
      </c>
      <c r="N86" s="41">
        <f t="shared" si="57"/>
        <v>0.30782263387621639</v>
      </c>
      <c r="O86" s="41">
        <f t="shared" si="58"/>
        <v>4.3704938251805485E-2</v>
      </c>
      <c r="P86" s="2">
        <v>0.2361021678471775</v>
      </c>
      <c r="Q86" s="2">
        <v>0.14944491887275835</v>
      </c>
      <c r="R86" s="2">
        <v>0.17355461546805512</v>
      </c>
      <c r="S86" s="2">
        <v>0.43706293706293708</v>
      </c>
      <c r="T86" s="2">
        <v>0.15955749388362939</v>
      </c>
      <c r="U86" s="41">
        <f t="shared" si="59"/>
        <v>0.23114442662691151</v>
      </c>
      <c r="V86" s="41">
        <f t="shared" si="60"/>
        <v>0.11994071138939189</v>
      </c>
      <c r="W86" s="4"/>
      <c r="X86" s="4"/>
      <c r="Y86" s="4"/>
      <c r="Z86" s="5"/>
      <c r="AA86" s="5"/>
      <c r="AB86" s="5"/>
      <c r="AC86" s="5"/>
      <c r="AD86" s="5"/>
      <c r="AE86" s="5"/>
      <c r="AF86" s="5"/>
      <c r="AG86" s="2"/>
      <c r="AH86" s="2"/>
      <c r="AI86" s="2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ht="14.25" customHeight="1">
      <c r="A87" s="8" t="s">
        <v>33</v>
      </c>
      <c r="B87" s="2">
        <v>0.426075841499787</v>
      </c>
      <c r="C87" s="2">
        <v>0.42748744255637494</v>
      </c>
      <c r="D87" s="2">
        <v>0.50712127751402669</v>
      </c>
      <c r="E87" s="2">
        <v>0.87378640776699024</v>
      </c>
      <c r="F87" s="2">
        <v>0.36480686695278969</v>
      </c>
      <c r="G87" s="41">
        <f t="shared" si="55"/>
        <v>0.51985556725799376</v>
      </c>
      <c r="H87" s="41">
        <f t="shared" si="56"/>
        <v>0.20420321305576902</v>
      </c>
      <c r="I87" s="2">
        <v>0.41796163326545921</v>
      </c>
      <c r="J87" s="2">
        <v>0.27956989247311825</v>
      </c>
      <c r="K87" s="2">
        <v>0.390625</v>
      </c>
      <c r="L87" s="2">
        <v>0.43135986196484416</v>
      </c>
      <c r="M87" s="2">
        <v>0.48653908530651963</v>
      </c>
      <c r="N87" s="41">
        <f t="shared" si="57"/>
        <v>0.40121109460198828</v>
      </c>
      <c r="O87" s="41">
        <f t="shared" si="58"/>
        <v>7.6451033627687653E-2</v>
      </c>
      <c r="P87" s="2">
        <v>0.51513200257565994</v>
      </c>
      <c r="Q87" s="2">
        <v>0.37361229718189581</v>
      </c>
      <c r="R87" s="2">
        <v>0.50981668293741189</v>
      </c>
      <c r="S87" s="2">
        <v>0.77578671328671334</v>
      </c>
      <c r="T87" s="2">
        <v>0.39357515157961914</v>
      </c>
      <c r="U87" s="41">
        <f t="shared" si="59"/>
        <v>0.51358456951226006</v>
      </c>
      <c r="V87" s="41">
        <f t="shared" si="60"/>
        <v>0.16028182455607853</v>
      </c>
      <c r="W87" s="4"/>
      <c r="X87" s="4"/>
      <c r="Y87" s="4"/>
      <c r="Z87" s="5"/>
      <c r="AA87" s="5"/>
      <c r="AB87" s="5"/>
      <c r="AC87" s="5"/>
      <c r="AD87" s="5"/>
      <c r="AE87" s="5"/>
      <c r="AF87" s="5"/>
      <c r="AG87" s="2"/>
      <c r="AH87" s="2"/>
      <c r="AI87" s="2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ht="14.25" customHeight="1">
      <c r="A88" s="8" t="s">
        <v>34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41">
        <f t="shared" si="55"/>
        <v>0</v>
      </c>
      <c r="H88" s="41">
        <f t="shared" si="56"/>
        <v>0</v>
      </c>
      <c r="I88" s="2">
        <v>0.11788661451077055</v>
      </c>
      <c r="J88" s="2">
        <v>0.09</v>
      </c>
      <c r="K88" s="2">
        <v>0.1</v>
      </c>
      <c r="L88" s="2">
        <v>0.18332794133505875</v>
      </c>
      <c r="M88" s="2">
        <v>0.19461563412260785</v>
      </c>
      <c r="N88" s="41">
        <f t="shared" si="57"/>
        <v>0.13716603799368743</v>
      </c>
      <c r="O88" s="41">
        <f t="shared" si="58"/>
        <v>4.8500059550164516E-2</v>
      </c>
      <c r="P88" s="2">
        <v>0.12878300064391499</v>
      </c>
      <c r="Q88" s="2">
        <v>9.6071733561058914E-2</v>
      </c>
      <c r="R88" s="2">
        <v>0.1</v>
      </c>
      <c r="S88" s="2">
        <v>0.17482517482517484</v>
      </c>
      <c r="T88" s="2">
        <v>9.5734496330177637E-2</v>
      </c>
      <c r="U88" s="41">
        <f t="shared" si="59"/>
        <v>0.11908288107206529</v>
      </c>
      <c r="V88" s="41">
        <f t="shared" si="60"/>
        <v>3.4059183645550092E-2</v>
      </c>
      <c r="W88" s="4"/>
      <c r="X88" s="4"/>
      <c r="Y88" s="4"/>
      <c r="Z88" s="5"/>
      <c r="AA88" s="5"/>
      <c r="AB88" s="5"/>
      <c r="AC88" s="5"/>
      <c r="AD88" s="5"/>
      <c r="AE88" s="5"/>
      <c r="AF88" s="5"/>
      <c r="AG88" s="2"/>
      <c r="AH88" s="2"/>
      <c r="AI88" s="2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ht="14.25" customHeight="1">
      <c r="A89" s="8" t="s">
        <v>54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41">
        <f t="shared" si="55"/>
        <v>0</v>
      </c>
      <c r="H89" s="41">
        <f t="shared" si="56"/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41">
        <f t="shared" si="57"/>
        <v>0</v>
      </c>
      <c r="O89" s="41">
        <f t="shared" si="58"/>
        <v>0</v>
      </c>
      <c r="P89" s="2">
        <v>0.13951491736424124</v>
      </c>
      <c r="Q89" s="2">
        <v>0.12809564474807855</v>
      </c>
      <c r="R89" s="2">
        <v>0.10847163466753444</v>
      </c>
      <c r="S89" s="2">
        <v>0.13111888111888112</v>
      </c>
      <c r="T89" s="2">
        <v>0.10637166258908626</v>
      </c>
      <c r="U89" s="41">
        <f t="shared" si="59"/>
        <v>0.12271454809756432</v>
      </c>
      <c r="V89" s="41">
        <f t="shared" si="60"/>
        <v>1.4592737165372772E-2</v>
      </c>
      <c r="W89" s="4"/>
      <c r="X89" s="4"/>
      <c r="Y89" s="4"/>
      <c r="Z89" s="5"/>
      <c r="AA89" s="5"/>
      <c r="AB89" s="5"/>
      <c r="AC89" s="5"/>
      <c r="AD89" s="5"/>
      <c r="AE89" s="5"/>
      <c r="AF89" s="5"/>
      <c r="AG89" s="2"/>
      <c r="AH89" s="2"/>
      <c r="AI89" s="2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ht="14.25" customHeight="1">
      <c r="A90" s="1" t="s">
        <v>35</v>
      </c>
      <c r="B90" s="2">
        <v>6.7426501917341293</v>
      </c>
      <c r="C90" s="2">
        <v>6.4016244522817143</v>
      </c>
      <c r="D90" s="2">
        <v>7.4341821320673276</v>
      </c>
      <c r="E90" s="2">
        <v>13.398058252427184</v>
      </c>
      <c r="F90" s="2">
        <v>5.3969957081545061</v>
      </c>
      <c r="G90" s="41">
        <f t="shared" si="55"/>
        <v>7.8747021473329726</v>
      </c>
      <c r="H90" s="41">
        <f t="shared" si="56"/>
        <v>3.1738009260234903</v>
      </c>
      <c r="I90" s="2">
        <v>8.809345193441219</v>
      </c>
      <c r="J90" s="2">
        <v>4.279569892473118</v>
      </c>
      <c r="K90" s="2">
        <v>4.5873397435897436</v>
      </c>
      <c r="L90" s="2">
        <v>7.4625256119918042</v>
      </c>
      <c r="M90" s="2">
        <v>6.4871878040869291</v>
      </c>
      <c r="N90" s="41">
        <f t="shared" si="57"/>
        <v>6.3251936491165628</v>
      </c>
      <c r="O90" s="41">
        <f t="shared" si="58"/>
        <v>1.9167347068577087</v>
      </c>
      <c r="P90" s="2">
        <v>5.0440008585533374</v>
      </c>
      <c r="Q90" s="2">
        <v>3.3625106746370621</v>
      </c>
      <c r="R90" s="2">
        <v>4.5341143291029393</v>
      </c>
      <c r="S90" s="2">
        <v>10.467657342657343</v>
      </c>
      <c r="T90" s="2">
        <v>4.1591320072332731</v>
      </c>
      <c r="U90" s="41">
        <f t="shared" si="59"/>
        <v>5.5134830424367918</v>
      </c>
      <c r="V90" s="41">
        <f t="shared" si="60"/>
        <v>2.8365634334614183</v>
      </c>
      <c r="W90" s="4"/>
      <c r="X90" s="4"/>
      <c r="Y90" s="4"/>
      <c r="Z90" s="5"/>
      <c r="AA90" s="5"/>
      <c r="AB90" s="5"/>
      <c r="AC90" s="5"/>
      <c r="AD90" s="5"/>
      <c r="AE90" s="5"/>
      <c r="AF90" s="5"/>
      <c r="AG90" s="2"/>
      <c r="AH90" s="2"/>
      <c r="AI90" s="2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ht="14.25" customHeight="1">
      <c r="A91" s="1" t="s">
        <v>36</v>
      </c>
      <c r="B91" s="2">
        <v>0.2449936088623775</v>
      </c>
      <c r="C91" s="2">
        <v>0.23511809340600623</v>
      </c>
      <c r="D91" s="2">
        <v>0.28053517479499351</v>
      </c>
      <c r="E91" s="2">
        <v>0.39913700107874867</v>
      </c>
      <c r="F91" s="2">
        <v>0.30042918454935624</v>
      </c>
      <c r="G91" s="41">
        <f t="shared" si="55"/>
        <v>0.29204261253829644</v>
      </c>
      <c r="H91" s="41">
        <f t="shared" si="56"/>
        <v>6.5433121191994875E-2</v>
      </c>
      <c r="I91" s="2">
        <v>0.65373486228700028</v>
      </c>
      <c r="J91" s="2">
        <v>0.38709677419354838</v>
      </c>
      <c r="K91" s="2">
        <v>0.43068910256410253</v>
      </c>
      <c r="L91" s="2">
        <v>0.66860778604550841</v>
      </c>
      <c r="M91" s="2">
        <v>0.82171045518434427</v>
      </c>
      <c r="N91" s="41">
        <f t="shared" si="57"/>
        <v>0.59236779605490075</v>
      </c>
      <c r="O91" s="41">
        <f t="shared" si="58"/>
        <v>0.18059118232430532</v>
      </c>
      <c r="P91" s="2">
        <v>0.71903842026185871</v>
      </c>
      <c r="Q91" s="2">
        <v>0.49103330486763447</v>
      </c>
      <c r="R91" s="2">
        <v>0.58574682720468596</v>
      </c>
      <c r="S91" s="2">
        <v>1.3658216783216783</v>
      </c>
      <c r="T91" s="2">
        <v>0.42548665035634503</v>
      </c>
      <c r="U91" s="41">
        <f t="shared" si="59"/>
        <v>0.71742537620244051</v>
      </c>
      <c r="V91" s="41">
        <f t="shared" si="60"/>
        <v>0.37889351947186284</v>
      </c>
      <c r="W91" s="4"/>
      <c r="X91" s="4"/>
      <c r="Y91" s="4"/>
      <c r="Z91" s="5"/>
      <c r="AA91" s="5"/>
      <c r="AB91" s="5"/>
      <c r="AC91" s="5"/>
      <c r="AD91" s="5"/>
      <c r="AE91" s="5"/>
      <c r="AF91" s="5"/>
      <c r="AG91" s="2"/>
      <c r="AH91" s="2"/>
      <c r="AI91" s="2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ht="14.25" customHeight="1">
      <c r="A92" s="8" t="s">
        <v>37</v>
      </c>
      <c r="B92" s="2">
        <v>0</v>
      </c>
      <c r="C92" s="2">
        <v>0</v>
      </c>
      <c r="D92" s="2">
        <v>0.14026758739749676</v>
      </c>
      <c r="E92" s="2">
        <v>0.22653721682847897</v>
      </c>
      <c r="F92" s="2">
        <v>0</v>
      </c>
      <c r="G92" s="41">
        <f t="shared" si="55"/>
        <v>7.3360960845195139E-2</v>
      </c>
      <c r="H92" s="41">
        <f t="shared" si="56"/>
        <v>0.10498208633149801</v>
      </c>
      <c r="I92" s="2">
        <v>0</v>
      </c>
      <c r="J92" s="2">
        <v>0</v>
      </c>
      <c r="K92" s="2">
        <v>0</v>
      </c>
      <c r="L92" s="2">
        <v>0</v>
      </c>
      <c r="M92" s="2">
        <v>0.15136771542869501</v>
      </c>
      <c r="N92" s="41">
        <f t="shared" si="57"/>
        <v>3.0273543085739003E-2</v>
      </c>
      <c r="O92" s="41">
        <f t="shared" si="58"/>
        <v>6.7693700259481154E-2</v>
      </c>
      <c r="P92" s="2">
        <v>0.11805108392358875</v>
      </c>
      <c r="Q92" s="2">
        <v>0</v>
      </c>
      <c r="R92" s="2">
        <v>0</v>
      </c>
      <c r="S92" s="2">
        <v>0</v>
      </c>
      <c r="T92" s="2">
        <v>0</v>
      </c>
      <c r="U92" s="41">
        <f t="shared" si="59"/>
        <v>2.3610216784717749E-2</v>
      </c>
      <c r="V92" s="41">
        <f t="shared" si="60"/>
        <v>5.2794049694135405E-2</v>
      </c>
      <c r="W92" s="4"/>
      <c r="X92" s="4"/>
      <c r="Y92" s="4"/>
      <c r="Z92" s="5"/>
      <c r="AA92" s="5"/>
      <c r="AB92" s="5"/>
      <c r="AC92" s="5"/>
      <c r="AD92" s="5"/>
      <c r="AE92" s="5"/>
      <c r="AF92" s="5"/>
      <c r="AG92" s="2"/>
      <c r="AH92" s="2"/>
      <c r="AI92" s="2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ht="14.25" customHeight="1">
      <c r="A93" s="8" t="s">
        <v>40</v>
      </c>
      <c r="B93" s="2">
        <v>0.95867064337452068</v>
      </c>
      <c r="C93" s="2">
        <v>1.0045954900074812</v>
      </c>
      <c r="D93" s="2">
        <v>1.1976694000863186</v>
      </c>
      <c r="E93" s="2">
        <v>2.319309600862999</v>
      </c>
      <c r="F93" s="2">
        <v>0.8905579399141631</v>
      </c>
      <c r="G93" s="41">
        <f t="shared" si="55"/>
        <v>1.2741606148490965</v>
      </c>
      <c r="H93" s="41">
        <f t="shared" si="56"/>
        <v>0.59530194014275584</v>
      </c>
      <c r="I93" s="2">
        <v>1.0931304254635088</v>
      </c>
      <c r="J93" s="2">
        <v>0.61290322580645151</v>
      </c>
      <c r="K93" s="2">
        <v>0.66105769230769229</v>
      </c>
      <c r="L93" s="2">
        <v>0.78723174808584062</v>
      </c>
      <c r="M93" s="2">
        <v>0.86495837387825714</v>
      </c>
      <c r="N93" s="41">
        <f t="shared" si="57"/>
        <v>0.80385629310835005</v>
      </c>
      <c r="O93" s="41">
        <f t="shared" si="58"/>
        <v>0.19009463283064931</v>
      </c>
      <c r="P93" s="2">
        <v>0.70830650354153246</v>
      </c>
      <c r="Q93" s="2">
        <v>0.43766011955593509</v>
      </c>
      <c r="R93" s="2">
        <v>0.66167697147196014</v>
      </c>
      <c r="S93" s="2">
        <v>1.4095279720279721</v>
      </c>
      <c r="T93" s="2">
        <v>0.58504414423997453</v>
      </c>
      <c r="U93" s="41">
        <f t="shared" si="59"/>
        <v>0.76044314216747488</v>
      </c>
      <c r="V93" s="41">
        <f t="shared" si="60"/>
        <v>0.37707353065294558</v>
      </c>
      <c r="W93" s="4"/>
      <c r="X93" s="4"/>
      <c r="Y93" s="4"/>
      <c r="Z93" s="5"/>
      <c r="AA93" s="5"/>
      <c r="AB93" s="5"/>
      <c r="AC93" s="5"/>
      <c r="AD93" s="5"/>
      <c r="AE93" s="5"/>
      <c r="AF93" s="5"/>
      <c r="AG93" s="2"/>
      <c r="AH93" s="2"/>
      <c r="AI93" s="2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ht="14.25" customHeight="1">
      <c r="A94" s="8" t="s">
        <v>41</v>
      </c>
      <c r="B94" s="2">
        <v>0.30890498508734554</v>
      </c>
      <c r="C94" s="2">
        <v>0.27786683766164372</v>
      </c>
      <c r="D94" s="2">
        <v>0.2589555459646094</v>
      </c>
      <c r="E94" s="2">
        <v>0.74433656957928795</v>
      </c>
      <c r="F94" s="2">
        <v>0.25751072961373389</v>
      </c>
      <c r="G94" s="41">
        <f t="shared" si="55"/>
        <v>0.36951493358132409</v>
      </c>
      <c r="H94" s="41">
        <f t="shared" si="56"/>
        <v>0.21055433862243988</v>
      </c>
      <c r="I94" s="2">
        <v>0.41796163326545921</v>
      </c>
      <c r="J94" s="2">
        <v>0.18279569892473119</v>
      </c>
      <c r="K94" s="2">
        <v>0.2003205128205128</v>
      </c>
      <c r="L94" s="2">
        <v>0.24803192062978538</v>
      </c>
      <c r="M94" s="2">
        <v>0.24867553248999894</v>
      </c>
      <c r="N94" s="41">
        <f t="shared" si="57"/>
        <v>0.25955705962609754</v>
      </c>
      <c r="O94" s="41">
        <f t="shared" si="58"/>
        <v>9.3199410386736528E-2</v>
      </c>
      <c r="P94" s="2">
        <v>0.18244258424554624</v>
      </c>
      <c r="Q94" s="2">
        <v>0.1067463706233988</v>
      </c>
      <c r="R94" s="2">
        <v>0.16270745200130166</v>
      </c>
      <c r="S94" s="2">
        <v>0.42613636363636365</v>
      </c>
      <c r="T94" s="2">
        <v>0.13828316136581215</v>
      </c>
      <c r="U94" s="41">
        <f t="shared" si="59"/>
        <v>0.20326318637448448</v>
      </c>
      <c r="V94" s="41">
        <f t="shared" si="60"/>
        <v>0.127758187192858</v>
      </c>
      <c r="W94" s="4"/>
      <c r="X94" s="4"/>
      <c r="Y94" s="4"/>
      <c r="Z94" s="5"/>
      <c r="AA94" s="5"/>
      <c r="AB94" s="5"/>
      <c r="AC94" s="5"/>
      <c r="AD94" s="5"/>
      <c r="AE94" s="5"/>
      <c r="AF94" s="5"/>
      <c r="AG94" s="2"/>
      <c r="AH94" s="2"/>
      <c r="AI94" s="2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ht="14.25" customHeight="1">
      <c r="A95" s="8" t="s">
        <v>42</v>
      </c>
      <c r="B95" s="2">
        <v>0.92671495526203673</v>
      </c>
      <c r="C95" s="2">
        <v>0.96184674575184359</v>
      </c>
      <c r="D95" s="2">
        <v>1.1005610703495898</v>
      </c>
      <c r="E95" s="2">
        <v>1.4455231930960086</v>
      </c>
      <c r="F95" s="2">
        <v>0.70815450643776823</v>
      </c>
      <c r="G95" s="41">
        <f t="shared" si="55"/>
        <v>1.0285600941794495</v>
      </c>
      <c r="H95" s="41">
        <f t="shared" si="56"/>
        <v>0.27227064212983726</v>
      </c>
      <c r="I95" s="2">
        <v>1.4360733040402958</v>
      </c>
      <c r="J95" s="2">
        <v>0.89247311827956988</v>
      </c>
      <c r="K95" s="2">
        <v>0.92147435897435892</v>
      </c>
      <c r="L95" s="2">
        <v>1.2401596031489268</v>
      </c>
      <c r="M95" s="2">
        <v>1.5353011136339065</v>
      </c>
      <c r="N95" s="41">
        <f t="shared" si="57"/>
        <v>1.2050962996154115</v>
      </c>
      <c r="O95" s="41">
        <f t="shared" si="58"/>
        <v>0.29231391078355451</v>
      </c>
      <c r="P95" s="2">
        <v>1.0302640051513199</v>
      </c>
      <c r="Q95" s="2">
        <v>0.85397096498719038</v>
      </c>
      <c r="R95" s="2">
        <v>1.0087862024080703</v>
      </c>
      <c r="S95" s="2">
        <v>2.1416083916083917</v>
      </c>
      <c r="T95" s="2">
        <v>0.88288479948941601</v>
      </c>
      <c r="U95" s="41">
        <f t="shared" si="59"/>
        <v>1.1835028727288777</v>
      </c>
      <c r="V95" s="41">
        <f t="shared" si="60"/>
        <v>0.54104915555564526</v>
      </c>
      <c r="W95" s="4"/>
      <c r="X95" s="4"/>
      <c r="Y95" s="4"/>
      <c r="Z95" s="5"/>
      <c r="AA95" s="5"/>
      <c r="AB95" s="5"/>
      <c r="AC95" s="5"/>
      <c r="AD95" s="5"/>
      <c r="AE95" s="5"/>
      <c r="AF95" s="5"/>
      <c r="AG95" s="2"/>
      <c r="AH95" s="2"/>
      <c r="AI95" s="2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ht="14.25" customHeight="1">
      <c r="A96" s="8" t="s">
        <v>43</v>
      </c>
      <c r="B96" s="2">
        <v>0.1278227524499361</v>
      </c>
      <c r="C96" s="2">
        <v>0.13893341883082186</v>
      </c>
      <c r="D96" s="2">
        <v>9.7108329736728519E-2</v>
      </c>
      <c r="E96" s="2">
        <v>0.21574973031283709</v>
      </c>
      <c r="F96" s="2">
        <v>0.09</v>
      </c>
      <c r="G96" s="41">
        <f t="shared" si="55"/>
        <v>0.13392284626606471</v>
      </c>
      <c r="H96" s="41">
        <f t="shared" si="56"/>
        <v>5.0106089914793102E-2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41">
        <f t="shared" si="57"/>
        <v>0</v>
      </c>
      <c r="O96" s="41">
        <f t="shared" si="58"/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41">
        <f t="shared" si="59"/>
        <v>0</v>
      </c>
      <c r="V96" s="41">
        <f t="shared" si="60"/>
        <v>0</v>
      </c>
      <c r="W96" s="4"/>
      <c r="X96" s="4"/>
      <c r="Y96" s="4"/>
      <c r="Z96" s="5"/>
      <c r="AA96" s="5"/>
      <c r="AB96" s="5"/>
      <c r="AC96" s="5"/>
      <c r="AD96" s="5"/>
      <c r="AE96" s="5"/>
      <c r="AF96" s="5"/>
      <c r="AG96" s="2"/>
      <c r="AH96" s="2"/>
      <c r="AI96" s="2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ht="14.25" customHeight="1">
      <c r="A97" s="1" t="s">
        <v>44</v>
      </c>
      <c r="B97" s="2">
        <v>0.2130379207498935</v>
      </c>
      <c r="C97" s="2">
        <v>0.22443090734209684</v>
      </c>
      <c r="D97" s="2">
        <v>0.19421665947345704</v>
      </c>
      <c r="E97" s="2">
        <v>0.38834951456310679</v>
      </c>
      <c r="F97" s="2">
        <v>0.23605150214592274</v>
      </c>
      <c r="G97" s="41">
        <f t="shared" si="55"/>
        <v>0.25121730085489541</v>
      </c>
      <c r="H97" s="41">
        <f t="shared" si="56"/>
        <v>7.8197657489715786E-2</v>
      </c>
      <c r="I97" s="2">
        <v>0.31079198371021322</v>
      </c>
      <c r="J97" s="2">
        <v>0.16129032258064516</v>
      </c>
      <c r="K97" s="2">
        <v>0.1001602564102564</v>
      </c>
      <c r="L97" s="2">
        <v>0.24803192062978538</v>
      </c>
      <c r="M97" s="2">
        <v>0.30273543085739002</v>
      </c>
      <c r="N97" s="41">
        <f t="shared" si="57"/>
        <v>0.22460198283765803</v>
      </c>
      <c r="O97" s="41">
        <f t="shared" si="58"/>
        <v>9.1619626084613909E-2</v>
      </c>
      <c r="P97" s="2">
        <v>0.19317450096587249</v>
      </c>
      <c r="Q97" s="2">
        <v>0.18146883005977796</v>
      </c>
      <c r="R97" s="2">
        <v>0.15186028853454825</v>
      </c>
      <c r="S97" s="2">
        <v>0.39335664335664339</v>
      </c>
      <c r="T97" s="2">
        <v>0.14892032762472079</v>
      </c>
      <c r="U97" s="41">
        <f t="shared" si="59"/>
        <v>0.21375611810831258</v>
      </c>
      <c r="V97" s="41">
        <f t="shared" si="60"/>
        <v>0.10217288540686816</v>
      </c>
      <c r="W97" s="4"/>
      <c r="X97" s="4"/>
      <c r="Y97" s="4"/>
      <c r="Z97" s="5"/>
      <c r="AA97" s="5"/>
      <c r="AB97" s="5"/>
      <c r="AC97" s="5"/>
      <c r="AD97" s="5"/>
      <c r="AE97" s="5"/>
      <c r="AF97" s="5"/>
      <c r="AG97" s="2"/>
      <c r="AH97" s="2"/>
      <c r="AI97" s="2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ht="14.25" customHeight="1">
      <c r="A98" s="8" t="s">
        <v>45</v>
      </c>
      <c r="B98" s="2">
        <v>0.26629740093736687</v>
      </c>
      <c r="C98" s="2">
        <v>0.27786683766164372</v>
      </c>
      <c r="D98" s="2">
        <v>0.26974536037980146</v>
      </c>
      <c r="E98" s="2">
        <v>0.43149946062567418</v>
      </c>
      <c r="F98" s="2">
        <v>0.23605150214592274</v>
      </c>
      <c r="G98" s="41">
        <f t="shared" si="55"/>
        <v>0.29629211235008179</v>
      </c>
      <c r="H98" s="41">
        <f t="shared" si="56"/>
        <v>7.7223477074227109E-2</v>
      </c>
      <c r="I98" s="2">
        <v>0.2143392991104919</v>
      </c>
      <c r="J98" s="2">
        <v>0.18279569892473119</v>
      </c>
      <c r="K98" s="2">
        <v>0.14022435897435898</v>
      </c>
      <c r="L98" s="2">
        <v>0.31273589992451195</v>
      </c>
      <c r="M98" s="2">
        <v>0.34598334955130289</v>
      </c>
      <c r="N98" s="41">
        <f t="shared" si="57"/>
        <v>0.23921572129707941</v>
      </c>
      <c r="O98" s="41">
        <f t="shared" si="58"/>
        <v>8.7186421288310931E-2</v>
      </c>
      <c r="P98" s="2">
        <v>0.17171066752521999</v>
      </c>
      <c r="Q98" s="2">
        <v>0.266865926558497</v>
      </c>
      <c r="R98" s="2">
        <v>0.20609610586831545</v>
      </c>
      <c r="S98" s="2">
        <v>0.34965034965034969</v>
      </c>
      <c r="T98" s="2">
        <v>0.18083182640144665</v>
      </c>
      <c r="U98" s="41">
        <f t="shared" si="59"/>
        <v>0.23503097520076577</v>
      </c>
      <c r="V98" s="41">
        <f t="shared" si="60"/>
        <v>7.4052854241321381E-2</v>
      </c>
      <c r="W98" s="4"/>
      <c r="X98" s="4"/>
      <c r="Y98" s="4"/>
      <c r="Z98" s="5"/>
      <c r="AA98" s="5"/>
      <c r="AB98" s="5"/>
      <c r="AC98" s="5"/>
      <c r="AD98" s="5"/>
      <c r="AE98" s="5"/>
      <c r="AF98" s="5"/>
      <c r="AG98" s="2"/>
      <c r="AH98" s="2"/>
      <c r="AI98" s="2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ht="14.25" customHeight="1">
      <c r="A99" s="8" t="s">
        <v>46</v>
      </c>
      <c r="B99" s="2">
        <v>0.59650617809970186</v>
      </c>
      <c r="C99" s="2">
        <v>0.41680025649246555</v>
      </c>
      <c r="D99" s="2">
        <v>0.84160552438498071</v>
      </c>
      <c r="E99" s="2">
        <v>0.88457389428263211</v>
      </c>
      <c r="F99" s="2">
        <v>0.62231759656652352</v>
      </c>
      <c r="G99" s="41">
        <f t="shared" si="55"/>
        <v>0.67236068996526077</v>
      </c>
      <c r="H99" s="41">
        <f t="shared" si="56"/>
        <v>0.19186428236417821</v>
      </c>
      <c r="I99" s="2">
        <v>0.83592326653091842</v>
      </c>
      <c r="J99" s="2">
        <v>0.6</v>
      </c>
      <c r="K99" s="2">
        <v>0.41065705128205127</v>
      </c>
      <c r="L99" s="2">
        <v>1.0783996549121104</v>
      </c>
      <c r="M99" s="2">
        <v>0.91901827224564825</v>
      </c>
      <c r="N99" s="41">
        <f t="shared" si="57"/>
        <v>0.76879964899414577</v>
      </c>
      <c r="O99" s="41">
        <f t="shared" si="58"/>
        <v>0.26442523530466849</v>
      </c>
      <c r="P99" s="2">
        <v>0.30049366816913503</v>
      </c>
      <c r="Q99" s="2">
        <v>0.60845431255337323</v>
      </c>
      <c r="R99" s="2">
        <v>0.53151100987091882</v>
      </c>
      <c r="S99" s="2">
        <v>0.59003496503496511</v>
      </c>
      <c r="T99" s="2">
        <v>0.55313264546324858</v>
      </c>
      <c r="U99" s="41">
        <f t="shared" si="59"/>
        <v>0.51672532021832818</v>
      </c>
      <c r="V99" s="41">
        <f t="shared" si="60"/>
        <v>0.1245880706125784</v>
      </c>
      <c r="W99" s="4"/>
      <c r="X99" s="4"/>
      <c r="Y99" s="4"/>
      <c r="Z99" s="5"/>
      <c r="AA99" s="5"/>
      <c r="AB99" s="5"/>
      <c r="AC99" s="5"/>
      <c r="AD99" s="5"/>
      <c r="AE99" s="5"/>
      <c r="AF99" s="5"/>
      <c r="AG99" s="2"/>
      <c r="AH99" s="2"/>
      <c r="AI99" s="2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ht="14.25" customHeight="1">
      <c r="A100" s="8" t="s">
        <v>47</v>
      </c>
      <c r="B100" s="2">
        <v>99.989348103962499</v>
      </c>
      <c r="C100" s="2">
        <v>99.989312813936081</v>
      </c>
      <c r="D100" s="2">
        <v>100.04315925766076</v>
      </c>
      <c r="E100" s="2">
        <v>99.946062567421777</v>
      </c>
      <c r="F100" s="2">
        <v>99.978540772532199</v>
      </c>
      <c r="G100" s="41">
        <f t="shared" si="55"/>
        <v>99.989284703102669</v>
      </c>
      <c r="H100" s="41">
        <f t="shared" si="56"/>
        <v>3.4950169869549283E-2</v>
      </c>
      <c r="I100" s="2">
        <v>99.98928303504448</v>
      </c>
      <c r="J100" s="2">
        <v>100.01</v>
      </c>
      <c r="K100" s="2">
        <v>99.969951923076948</v>
      </c>
      <c r="L100" s="2">
        <v>99.97843200690177</v>
      </c>
      <c r="M100" s="2">
        <v>99.97837604065306</v>
      </c>
      <c r="N100" s="41">
        <f t="shared" si="57"/>
        <v>99.985208601135255</v>
      </c>
      <c r="O100" s="41">
        <f t="shared" si="58"/>
        <v>1.5464368778540141E-2</v>
      </c>
      <c r="P100" s="2">
        <v>99.989268083279669</v>
      </c>
      <c r="Q100" s="2">
        <v>99.999999999999972</v>
      </c>
      <c r="R100" s="2">
        <v>100</v>
      </c>
      <c r="S100" s="2">
        <v>99.999999999999957</v>
      </c>
      <c r="T100" s="2">
        <v>99.989362833741055</v>
      </c>
      <c r="U100" s="41">
        <f t="shared" si="59"/>
        <v>99.995726183404116</v>
      </c>
      <c r="V100" s="41">
        <f t="shared" si="60"/>
        <v>5.8522602692661352E-3</v>
      </c>
      <c r="W100" s="4"/>
      <c r="X100" s="4"/>
      <c r="Y100" s="4"/>
      <c r="Z100" s="5"/>
      <c r="AA100" s="5"/>
      <c r="AB100" s="5"/>
      <c r="AC100" s="5"/>
      <c r="AD100" s="5"/>
      <c r="AE100" s="5"/>
      <c r="AF100" s="5"/>
      <c r="AG100" s="2"/>
      <c r="AH100" s="2"/>
      <c r="AI100" s="2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ht="14.25" customHeight="1">
      <c r="A101" s="1" t="s">
        <v>92</v>
      </c>
      <c r="B101" s="2">
        <f>SUM(B66,B67,B70,B73,B77,B84,B92,B96)</f>
        <v>33.052833404345982</v>
      </c>
      <c r="C101" s="2">
        <f>SUM(C66,C67,C70,C73,C77,C84,C92,C96)</f>
        <v>31.249332050871004</v>
      </c>
      <c r="D101" s="2">
        <f>SUM(D66,D67,D70,D73,D77,D84,D92,D96)</f>
        <v>29.337505394907204</v>
      </c>
      <c r="E101" s="2">
        <f>SUM(E66,E67,E70,E73,E77,E84,E92,E96)</f>
        <v>29.644012944983817</v>
      </c>
      <c r="F101" s="2">
        <f>SUM(F66,F67,F70,F73,F77,F84,F92,F96)</f>
        <v>34.360386266094423</v>
      </c>
      <c r="G101" s="41">
        <f t="shared" ref="G101:G108" si="61">AVERAGE(B101:F101)</f>
        <v>31.528814012240485</v>
      </c>
      <c r="H101" s="41">
        <f t="shared" ref="H101:H108" si="62">STDEVA(B101:F101)</f>
        <v>2.1663826544825238</v>
      </c>
      <c r="I101" s="2">
        <f>SUM(I66,I67,I70,I73,I77,I84,I92,I96)</f>
        <v>29.675275961847603</v>
      </c>
      <c r="J101" s="2">
        <f>SUM(J66,J67,J70,J73,J77,J84,J92,J96)</f>
        <v>34.677419354838712</v>
      </c>
      <c r="K101" s="2">
        <f>SUM(K66,K67,K70,K73,K77,K84,K92,K96)</f>
        <v>35.877403846153847</v>
      </c>
      <c r="L101" s="2">
        <f>SUM(L66,L67,L70,L73,L77,L84,L92,L96)</f>
        <v>29.580502534239191</v>
      </c>
      <c r="M101" s="2">
        <f>SUM(M66,M67,M70,M73,M77,M84,M92,M96)</f>
        <v>31.81965617904639</v>
      </c>
      <c r="N101" s="41">
        <f t="shared" ref="N101:N108" si="63">AVERAGE(I101:M101)</f>
        <v>32.326051575225151</v>
      </c>
      <c r="O101" s="41">
        <f t="shared" ref="O101:O108" si="64">STDEVA(I101:M101)</f>
        <v>2.8706323594916459</v>
      </c>
      <c r="P101" s="2">
        <f>SUM(P66,P67,P70,P73,P77,P84,P92,P96)</f>
        <v>34.481648422408242</v>
      </c>
      <c r="Q101" s="2">
        <f>SUM(Q66,Q67,Q70,Q73,Q77,Q84,Q92,Q96)</f>
        <v>36.66737830913749</v>
      </c>
      <c r="R101" s="2">
        <f>SUM(R66,R67,R70,R73,R77,R84,R92,R96)</f>
        <v>36.142748671222478</v>
      </c>
      <c r="S101" s="2">
        <f>SUM(S66,S67,S70,S73,S77,S84,S92,S96)</f>
        <v>29.1958041958042</v>
      </c>
      <c r="T101" s="2">
        <f>SUM(T66,T67,T70,T73,T77,T84,T92,T96)</f>
        <v>34.32613551749813</v>
      </c>
      <c r="U101" s="41">
        <f t="shared" ref="U101:U108" si="65">AVERAGE(P101:T101)</f>
        <v>34.162743023214105</v>
      </c>
      <c r="V101" s="41">
        <f t="shared" ref="V101:V108" si="66">STDEVA(P101:T101)</f>
        <v>2.9577229145785942</v>
      </c>
      <c r="W101" s="4"/>
      <c r="X101" s="4"/>
      <c r="Y101" s="4"/>
      <c r="Z101" s="5"/>
      <c r="AA101" s="5"/>
      <c r="AB101" s="5"/>
      <c r="AC101" s="5"/>
      <c r="AD101" s="5"/>
      <c r="AE101" s="5"/>
      <c r="AF101" s="5"/>
      <c r="AG101" s="2"/>
      <c r="AH101" s="2"/>
      <c r="AI101" s="2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ht="14.25" customHeight="1">
      <c r="A102" s="1" t="s">
        <v>93</v>
      </c>
      <c r="B102" s="2">
        <f>SUM(B68,B71,B72,B74,B78,B79,B85,B98)</f>
        <v>31.540264167021732</v>
      </c>
      <c r="C102" s="2">
        <f>SUM(C68,C71,C72,C74,C78,C79,C85,C98)</f>
        <v>31.505824516404836</v>
      </c>
      <c r="D102" s="2">
        <f>SUM(D68,D71,D72,D74,D78,D79,D85,D98)</f>
        <v>26.963746223564954</v>
      </c>
      <c r="E102" s="2">
        <f>SUM(E68,E71,E72,E74,E78,E79,E85,E98)</f>
        <v>19.257001078748651</v>
      </c>
      <c r="F102" s="2">
        <f>SUM(F68,F71,F72,F74,F78,F79,F85,F98)</f>
        <v>35.021459227467801</v>
      </c>
      <c r="G102" s="41">
        <f t="shared" si="61"/>
        <v>28.857659042641597</v>
      </c>
      <c r="H102" s="41">
        <f t="shared" si="62"/>
        <v>6.0819635491790116</v>
      </c>
      <c r="I102" s="2">
        <f>SUM(I68,I71,I72,I74,I78,I79,I85,I98)</f>
        <v>30.232558139534881</v>
      </c>
      <c r="J102" s="2">
        <f>SUM(J68,J71,J72,J74,J78,J79,J85,J98)</f>
        <v>36.172043010752681</v>
      </c>
      <c r="K102" s="2">
        <f>SUM(K68,K71,K72,K74,K78,K79,K85,K98)</f>
        <v>34.835737179487175</v>
      </c>
      <c r="L102" s="2">
        <f>SUM(L68,L71,L72,L74,L78,L79,L85,L98)</f>
        <v>29.774614472123368</v>
      </c>
      <c r="M102" s="2">
        <f>SUM(M68,M71,M72,M74,M78,M79,M85,M98)</f>
        <v>29.311276894799441</v>
      </c>
      <c r="N102" s="41">
        <f t="shared" si="63"/>
        <v>32.065245939339512</v>
      </c>
      <c r="O102" s="41">
        <f t="shared" si="64"/>
        <v>3.1910612061640715</v>
      </c>
      <c r="P102" s="2">
        <f>SUM(P68,P71,P72,P74,P78,P79,P85,P98)</f>
        <v>34.28847392144236</v>
      </c>
      <c r="Q102" s="2">
        <f>SUM(Q68,Q71,Q72,Q74,Q78,Q79,Q85,Q98)</f>
        <v>38.706233988044403</v>
      </c>
      <c r="R102" s="2">
        <f>SUM(R68,R71,R72,R74,R78,R79,R85,R98)</f>
        <v>33.73467838160321</v>
      </c>
      <c r="S102" s="2">
        <f>SUM(S68,S71,S72,S74,S78,S79,S85,S98)</f>
        <v>22.810786713286717</v>
      </c>
      <c r="T102" s="2">
        <f>SUM(T68,T71,T72,T74,T78,T79,T85,T98)</f>
        <v>38.644825018615037</v>
      </c>
      <c r="U102" s="41">
        <f t="shared" si="65"/>
        <v>33.636999604598351</v>
      </c>
      <c r="V102" s="41">
        <f t="shared" si="66"/>
        <v>6.4887652544333942</v>
      </c>
      <c r="W102" s="4"/>
      <c r="X102" s="4"/>
      <c r="Y102" s="4"/>
      <c r="Z102" s="5"/>
      <c r="AA102" s="5"/>
      <c r="AB102" s="5"/>
      <c r="AC102" s="5"/>
      <c r="AD102" s="5"/>
      <c r="AE102" s="5"/>
      <c r="AF102" s="5"/>
      <c r="AG102" s="2"/>
      <c r="AH102" s="2"/>
      <c r="AI102" s="2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ht="14.25" customHeight="1">
      <c r="A103" s="1" t="s">
        <v>94</v>
      </c>
      <c r="B103" s="2" t="e">
        <f>SUM(B80,B81,#REF!,B82,B83,B86,B87,B88,B89,B90,B91,B93,B94,B95,B97)</f>
        <v>#REF!</v>
      </c>
      <c r="C103" s="2" t="e">
        <f>SUM(C80,C81,#REF!,C82,C83,C86,C87,C88,C89,C90,C91,C93,C94,C95,C97)</f>
        <v>#REF!</v>
      </c>
      <c r="D103" s="2" t="e">
        <f>SUM(D80,D81,#REF!,D82,D83,D86,D87,D88,D89,D90,D91,D93,D94,D95,D97)</f>
        <v>#REF!</v>
      </c>
      <c r="E103" s="2" t="e">
        <f>SUM(E80,E81,#REF!,E82,E83,E86,E87,E88,E89,E90,E91,E93,E94,E95,E97)</f>
        <v>#REF!</v>
      </c>
      <c r="F103" s="2" t="e">
        <f>SUM(F80,F81,#REF!,F82,F83,F86,F87,F88,F89,F90,F91,F93,F94,F95,F97)</f>
        <v>#REF!</v>
      </c>
      <c r="G103" s="41" t="e">
        <f t="shared" si="61"/>
        <v>#REF!</v>
      </c>
      <c r="H103" s="41" t="e">
        <f t="shared" si="62"/>
        <v>#REF!</v>
      </c>
      <c r="I103" s="2" t="e">
        <f>SUM(I80,I81,#REF!,I82,I83,I86,I87,I88,I89,I90,I91,I93,I94,I95,I97)</f>
        <v>#REF!</v>
      </c>
      <c r="J103" s="2" t="e">
        <f>SUM(J80,J81,#REF!,J82,J83,J86,J87,J88,J89,J90,J91,J93,J94,J95,J97)</f>
        <v>#REF!</v>
      </c>
      <c r="K103" s="2" t="e">
        <f>SUM(K80,K81,#REF!,K82,K83,K86,K87,K88,K89,K90,K91,K93,K94,K95,K97)</f>
        <v>#REF!</v>
      </c>
      <c r="L103" s="2" t="e">
        <f>SUM(L80,L81,#REF!,L82,L83,L86,L87,L88,L89,L90,L91,L93,L94,L95,L97)</f>
        <v>#REF!</v>
      </c>
      <c r="M103" s="2" t="e">
        <f>SUM(M80,M81,#REF!,M82,M83,M86,M87,M88,M89,M90,M91,M93,M94,M95,M97)</f>
        <v>#REF!</v>
      </c>
      <c r="N103" s="41" t="e">
        <f t="shared" si="63"/>
        <v>#REF!</v>
      </c>
      <c r="O103" s="41" t="e">
        <f t="shared" si="64"/>
        <v>#REF!</v>
      </c>
      <c r="P103" s="2" t="e">
        <f>SUM(P80,P81,#REF!,P82,P83,P86,P87,P88,P89,P90,P91,P93,P94,P95,P97)</f>
        <v>#REF!</v>
      </c>
      <c r="Q103" s="2" t="e">
        <f>SUM(Q80,Q81,#REF!,Q82,Q83,Q86,Q87,Q88,Q89,Q90,Q91,Q93,Q94,Q95,Q97)</f>
        <v>#REF!</v>
      </c>
      <c r="R103" s="2" t="e">
        <f>SUM(R80,R81,#REF!,R82,R83,R86,R87,R88,R89,R90,R91,R93,R94,R95,R97)</f>
        <v>#REF!</v>
      </c>
      <c r="S103" s="2" t="e">
        <f>SUM(S80,S81,#REF!,S82,S83,S86,S87,S88,S89,S90,S91,S93,S94,S95,S97)</f>
        <v>#REF!</v>
      </c>
      <c r="T103" s="2" t="e">
        <f>SUM(T80,T81,#REF!,T82,T83,T86,T87,T88,T89,T90,T91,T93,T94,T95,T97)</f>
        <v>#REF!</v>
      </c>
      <c r="U103" s="41" t="e">
        <f t="shared" si="65"/>
        <v>#REF!</v>
      </c>
      <c r="V103" s="41" t="e">
        <f t="shared" si="66"/>
        <v>#REF!</v>
      </c>
      <c r="W103" s="4"/>
      <c r="X103" s="4"/>
      <c r="Y103" s="4"/>
      <c r="Z103" s="5"/>
      <c r="AA103" s="5"/>
      <c r="AB103" s="5"/>
      <c r="AC103" s="5"/>
      <c r="AD103" s="5"/>
      <c r="AE103" s="5"/>
      <c r="AF103" s="5"/>
      <c r="AG103" s="2"/>
      <c r="AH103" s="2"/>
      <c r="AI103" s="2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ht="14.25" customHeight="1">
      <c r="A104" s="1" t="s">
        <v>95</v>
      </c>
      <c r="B104" s="2">
        <f>SUM(B80,B81,B86,B87,B90,B93,B94)</f>
        <v>25.415423945462294</v>
      </c>
      <c r="C104" s="2">
        <f t="shared" ref="C104:T104" si="67">SUM(C80,C81,C86,C87,C90,C93,C94)</f>
        <v>26.803462648284711</v>
      </c>
      <c r="D104" s="2">
        <f t="shared" si="67"/>
        <v>32.045748813120419</v>
      </c>
      <c r="E104" s="2">
        <f t="shared" si="67"/>
        <v>34.757281553398059</v>
      </c>
      <c r="F104" s="2">
        <f t="shared" si="67"/>
        <v>22.467811158798284</v>
      </c>
      <c r="G104" s="41">
        <f t="shared" si="61"/>
        <v>28.297945623812758</v>
      </c>
      <c r="H104" s="41">
        <f t="shared" si="62"/>
        <v>5.0075425077443887</v>
      </c>
      <c r="I104" s="2">
        <f t="shared" si="67"/>
        <v>26.503054335012322</v>
      </c>
      <c r="J104" s="2">
        <f t="shared" si="67"/>
        <v>19.075268817204304</v>
      </c>
      <c r="K104" s="2">
        <f t="shared" si="67"/>
        <v>19.731570512820515</v>
      </c>
      <c r="L104" s="2">
        <f t="shared" si="67"/>
        <v>25.719831769653833</v>
      </c>
      <c r="M104" s="2">
        <f t="shared" si="67"/>
        <v>24.889177208346844</v>
      </c>
      <c r="N104" s="41">
        <f t="shared" si="63"/>
        <v>23.183780528607564</v>
      </c>
      <c r="O104" s="41">
        <f t="shared" si="64"/>
        <v>3.5055361505125417</v>
      </c>
      <c r="P104" s="2">
        <f t="shared" si="67"/>
        <v>20.895041854475206</v>
      </c>
      <c r="Q104" s="2">
        <f t="shared" si="67"/>
        <v>16.599060631938514</v>
      </c>
      <c r="R104" s="2">
        <f t="shared" si="67"/>
        <v>22.659724482047949</v>
      </c>
      <c r="S104" s="2">
        <f t="shared" si="67"/>
        <v>32.670454545454554</v>
      </c>
      <c r="T104" s="2">
        <f t="shared" si="67"/>
        <v>18.295925965322837</v>
      </c>
      <c r="U104" s="41">
        <f t="shared" si="65"/>
        <v>22.224041495847811</v>
      </c>
      <c r="V104" s="41">
        <f t="shared" si="66"/>
        <v>6.2879668147725765</v>
      </c>
      <c r="W104" s="4"/>
      <c r="X104" s="4"/>
      <c r="Y104" s="4"/>
      <c r="Z104" s="5"/>
      <c r="AA104" s="5"/>
      <c r="AB104" s="5"/>
      <c r="AC104" s="5"/>
      <c r="AD104" s="5"/>
      <c r="AE104" s="5"/>
      <c r="AF104" s="5"/>
      <c r="AG104" s="2"/>
      <c r="AH104" s="2"/>
      <c r="AI104" s="2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ht="14.25" customHeight="1">
      <c r="A105" s="1" t="s">
        <v>96</v>
      </c>
      <c r="B105" s="2">
        <f>SUM(B82,B83,B88,B89,B91,B95,B97)</f>
        <v>1.9919045590115041</v>
      </c>
      <c r="C105" s="2">
        <f t="shared" ref="C105:T105" si="68">SUM(C82,C83,C88,C89,C91,C95,C97)</f>
        <v>2.1801859570375122</v>
      </c>
      <c r="D105" s="2">
        <f t="shared" si="68"/>
        <v>2.6974536037980146</v>
      </c>
      <c r="E105" s="2">
        <f t="shared" si="68"/>
        <v>2.7292340884573894</v>
      </c>
      <c r="F105" s="2">
        <f t="shared" si="68"/>
        <v>1.9849785407725324</v>
      </c>
      <c r="G105" s="41">
        <f t="shared" si="61"/>
        <v>2.3167513498153904</v>
      </c>
      <c r="H105" s="41">
        <f t="shared" si="62"/>
        <v>0.37058229743384929</v>
      </c>
      <c r="I105" s="2">
        <f t="shared" si="68"/>
        <v>4.7154645804308215</v>
      </c>
      <c r="J105" s="2">
        <f t="shared" si="68"/>
        <v>4.3910752688172039</v>
      </c>
      <c r="K105" s="2">
        <f t="shared" si="68"/>
        <v>4.1164262820512816</v>
      </c>
      <c r="L105" s="2">
        <f t="shared" si="68"/>
        <v>6.0606060606060597</v>
      </c>
      <c r="M105" s="2">
        <f t="shared" si="68"/>
        <v>6.065520596821278</v>
      </c>
      <c r="N105" s="41">
        <f t="shared" si="63"/>
        <v>5.0698185577453287</v>
      </c>
      <c r="O105" s="41">
        <f t="shared" si="64"/>
        <v>0.93116841270815209</v>
      </c>
      <c r="P105" s="2">
        <f t="shared" si="68"/>
        <v>4.8830221077484435</v>
      </c>
      <c r="Q105" s="2">
        <f t="shared" si="68"/>
        <v>3.7254483347566181</v>
      </c>
      <c r="R105" s="2">
        <f t="shared" si="68"/>
        <v>4.5256426944354047</v>
      </c>
      <c r="S105" s="2">
        <f t="shared" si="68"/>
        <v>6.56687062937063</v>
      </c>
      <c r="T105" s="2">
        <f t="shared" si="68"/>
        <v>3.6379108605467501</v>
      </c>
      <c r="U105" s="41">
        <f t="shared" si="65"/>
        <v>4.6677789253715698</v>
      </c>
      <c r="V105" s="41">
        <f t="shared" si="66"/>
        <v>1.1855058845127295</v>
      </c>
      <c r="W105" s="4"/>
      <c r="X105" s="4"/>
      <c r="Y105" s="4"/>
      <c r="Z105" s="5"/>
      <c r="AA105" s="5"/>
      <c r="AB105" s="5"/>
      <c r="AC105" s="5"/>
      <c r="AD105" s="5"/>
      <c r="AE105" s="5"/>
      <c r="AF105" s="5"/>
      <c r="AG105" s="2"/>
      <c r="AH105" s="2"/>
      <c r="AI105" s="2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ht="14.25" customHeight="1">
      <c r="A106" s="1" t="s">
        <v>97</v>
      </c>
      <c r="B106" s="2">
        <f>SUM(B86,B87,B90,B93,B94)</f>
        <v>8.7984661269706006</v>
      </c>
      <c r="C106" s="2">
        <f t="shared" ref="C106:T106" si="69">SUM(C86,C87,C90,C93,C94)</f>
        <v>8.5070001068718621</v>
      </c>
      <c r="D106" s="2">
        <f t="shared" si="69"/>
        <v>9.7000431592576604</v>
      </c>
      <c r="E106" s="2">
        <f t="shared" si="69"/>
        <v>18.241639697950376</v>
      </c>
      <c r="F106" s="2">
        <f t="shared" si="69"/>
        <v>7.3605150214592268</v>
      </c>
      <c r="G106" s="41">
        <f t="shared" si="61"/>
        <v>10.521532822501946</v>
      </c>
      <c r="H106" s="41">
        <f t="shared" si="62"/>
        <v>4.395856852573381</v>
      </c>
      <c r="I106" s="2">
        <f t="shared" si="69"/>
        <v>11.092058728967958</v>
      </c>
      <c r="J106" s="2">
        <f t="shared" si="69"/>
        <v>5.623655913978495</v>
      </c>
      <c r="K106" s="2">
        <f t="shared" si="69"/>
        <v>6.1298076923076925</v>
      </c>
      <c r="L106" s="2">
        <f t="shared" si="69"/>
        <v>9.2850210287932704</v>
      </c>
      <c r="M106" s="2">
        <f t="shared" si="69"/>
        <v>8.3576602875986605</v>
      </c>
      <c r="N106" s="41">
        <f t="shared" si="63"/>
        <v>8.0976407303292142</v>
      </c>
      <c r="O106" s="41">
        <f t="shared" si="64"/>
        <v>2.2603644081750276</v>
      </c>
      <c r="P106" s="2">
        <f t="shared" si="69"/>
        <v>6.6859841167632537</v>
      </c>
      <c r="Q106" s="2">
        <f t="shared" si="69"/>
        <v>4.4299743808710508</v>
      </c>
      <c r="R106" s="2">
        <f t="shared" si="69"/>
        <v>6.0418700509816681</v>
      </c>
      <c r="S106" s="2">
        <f t="shared" si="69"/>
        <v>13.516171328671328</v>
      </c>
      <c r="T106" s="2">
        <f t="shared" si="69"/>
        <v>5.4355919583023082</v>
      </c>
      <c r="U106" s="41">
        <f t="shared" si="65"/>
        <v>7.2219183671179223</v>
      </c>
      <c r="V106" s="41">
        <f t="shared" si="66"/>
        <v>3.6153586666579578</v>
      </c>
      <c r="W106" s="4"/>
      <c r="X106" s="4"/>
      <c r="Y106" s="4"/>
      <c r="Z106" s="5"/>
      <c r="AA106" s="5"/>
      <c r="AB106" s="5"/>
      <c r="AC106" s="5"/>
      <c r="AD106" s="5"/>
      <c r="AE106" s="5"/>
      <c r="AF106" s="5"/>
      <c r="AG106" s="2"/>
      <c r="AH106" s="2"/>
      <c r="AI106" s="2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ht="14.25" customHeight="1">
      <c r="A107" s="1" t="s">
        <v>98</v>
      </c>
      <c r="B107" s="2">
        <f>SUM(B88,B89,B91,B95,B97)</f>
        <v>1.3847464848743078</v>
      </c>
      <c r="C107" s="2">
        <f t="shared" ref="C107:T107" si="70">SUM(C88,C89,C91,C95,C97)</f>
        <v>1.4213957464999467</v>
      </c>
      <c r="D107" s="2">
        <f t="shared" si="70"/>
        <v>1.5753129046180405</v>
      </c>
      <c r="E107" s="2">
        <f t="shared" si="70"/>
        <v>2.233009708737864</v>
      </c>
      <c r="F107" s="2">
        <f t="shared" si="70"/>
        <v>1.244635193133047</v>
      </c>
      <c r="G107" s="41">
        <f t="shared" si="61"/>
        <v>1.5718200075726412</v>
      </c>
      <c r="H107" s="41">
        <f t="shared" si="62"/>
        <v>0.38789750104590426</v>
      </c>
      <c r="I107" s="2">
        <f t="shared" si="70"/>
        <v>2.51848676454828</v>
      </c>
      <c r="J107" s="2">
        <f t="shared" si="70"/>
        <v>1.5308602150537636</v>
      </c>
      <c r="K107" s="2">
        <f t="shared" si="70"/>
        <v>1.5523237179487177</v>
      </c>
      <c r="L107" s="2">
        <f t="shared" si="70"/>
        <v>2.3401272511592794</v>
      </c>
      <c r="M107" s="2">
        <f t="shared" si="70"/>
        <v>2.8543626337982486</v>
      </c>
      <c r="N107" s="41">
        <f t="shared" si="63"/>
        <v>2.1592321165016579</v>
      </c>
      <c r="O107" s="41">
        <f t="shared" si="64"/>
        <v>0.59333431527391545</v>
      </c>
      <c r="P107" s="2">
        <f t="shared" si="70"/>
        <v>2.2107748443872071</v>
      </c>
      <c r="Q107" s="2">
        <f t="shared" si="70"/>
        <v>1.7506404782237404</v>
      </c>
      <c r="R107" s="2">
        <f t="shared" si="70"/>
        <v>1.9548649528148387</v>
      </c>
      <c r="S107" s="2">
        <f t="shared" si="70"/>
        <v>4.2067307692307692</v>
      </c>
      <c r="T107" s="2">
        <f t="shared" si="70"/>
        <v>1.6593979363897458</v>
      </c>
      <c r="U107" s="41">
        <f t="shared" si="65"/>
        <v>2.3564817962092599</v>
      </c>
      <c r="V107" s="41">
        <f t="shared" si="66"/>
        <v>1.0558074489548073</v>
      </c>
      <c r="W107" s="4"/>
      <c r="X107" s="4"/>
      <c r="Y107" s="4"/>
      <c r="Z107" s="5"/>
      <c r="AA107" s="5"/>
      <c r="AB107" s="5"/>
      <c r="AC107" s="5"/>
      <c r="AD107" s="5"/>
      <c r="AE107" s="5"/>
      <c r="AF107" s="5"/>
      <c r="AG107" s="2"/>
      <c r="AH107" s="2"/>
      <c r="AI107" s="2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ht="14.25" customHeight="1">
      <c r="A108" s="1" t="s">
        <v>99</v>
      </c>
      <c r="B108" s="2">
        <f>B104/B105</f>
        <v>12.759358288770054</v>
      </c>
      <c r="C108" s="2">
        <f t="shared" ref="C108:T108" si="71">C104/C105</f>
        <v>12.294117647058824</v>
      </c>
      <c r="D108" s="2">
        <f t="shared" si="71"/>
        <v>11.880000000000003</v>
      </c>
      <c r="E108" s="2">
        <f t="shared" si="71"/>
        <v>12.735177865612648</v>
      </c>
      <c r="F108" s="2">
        <f t="shared" si="71"/>
        <v>11.318918918918918</v>
      </c>
      <c r="G108" s="41">
        <f t="shared" si="61"/>
        <v>12.197514544072089</v>
      </c>
      <c r="H108" s="41">
        <f t="shared" si="62"/>
        <v>0.60967781625390494</v>
      </c>
      <c r="I108" s="2">
        <f t="shared" si="71"/>
        <v>5.620454545454546</v>
      </c>
      <c r="J108" s="2">
        <f t="shared" si="71"/>
        <v>4.3440997134951154</v>
      </c>
      <c r="K108" s="2">
        <f t="shared" si="71"/>
        <v>4.793373951297375</v>
      </c>
      <c r="L108" s="2">
        <f t="shared" si="71"/>
        <v>4.2437722419928834</v>
      </c>
      <c r="M108" s="2">
        <f t="shared" si="71"/>
        <v>4.1033868092691614</v>
      </c>
      <c r="N108" s="41">
        <f t="shared" si="63"/>
        <v>4.6210174523018157</v>
      </c>
      <c r="O108" s="41">
        <f t="shared" si="64"/>
        <v>0.61553231663512387</v>
      </c>
      <c r="P108" s="2">
        <f t="shared" si="71"/>
        <v>4.279120879120879</v>
      </c>
      <c r="Q108" s="2">
        <f t="shared" si="71"/>
        <v>4.455587392550143</v>
      </c>
      <c r="R108" s="2">
        <f t="shared" si="71"/>
        <v>5.0069627701518877</v>
      </c>
      <c r="S108" s="2">
        <f t="shared" si="71"/>
        <v>4.9750415973377713</v>
      </c>
      <c r="T108" s="2">
        <f t="shared" si="71"/>
        <v>5.0292397660818713</v>
      </c>
      <c r="U108" s="41">
        <f t="shared" si="65"/>
        <v>4.7491904810485099</v>
      </c>
      <c r="V108" s="41">
        <f t="shared" si="66"/>
        <v>0.35463047177258294</v>
      </c>
      <c r="W108" s="4"/>
      <c r="X108" s="4"/>
      <c r="Y108" s="4"/>
      <c r="Z108" s="5"/>
      <c r="AA108" s="5"/>
      <c r="AB108" s="5"/>
      <c r="AC108" s="5"/>
      <c r="AD108" s="5"/>
      <c r="AE108" s="5"/>
      <c r="AF108" s="5"/>
      <c r="AG108" s="2"/>
      <c r="AH108" s="2"/>
      <c r="AI108" s="2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ht="14.25" customHeight="1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3"/>
      <c r="S109" s="3"/>
      <c r="T109" s="2"/>
      <c r="U109" s="2"/>
      <c r="V109" s="2"/>
      <c r="W109" s="4"/>
      <c r="X109" s="4"/>
      <c r="Y109" s="4"/>
      <c r="Z109" s="5"/>
      <c r="AA109" s="5"/>
      <c r="AB109" s="5"/>
      <c r="AC109" s="5"/>
      <c r="AD109" s="5"/>
      <c r="AE109" s="5"/>
      <c r="AF109" s="5"/>
      <c r="AG109" s="2"/>
      <c r="AH109" s="2"/>
      <c r="AI109" s="2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ht="14.25" customHeight="1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3"/>
      <c r="S110" s="3"/>
      <c r="T110" s="2"/>
      <c r="U110" s="2"/>
      <c r="V110" s="2"/>
      <c r="W110" s="4"/>
      <c r="X110" s="4"/>
      <c r="Y110" s="4"/>
      <c r="Z110" s="5"/>
      <c r="AA110" s="5"/>
      <c r="AB110" s="5"/>
      <c r="AC110" s="5"/>
      <c r="AD110" s="5"/>
      <c r="AE110" s="5"/>
      <c r="AF110" s="5"/>
      <c r="AG110" s="2"/>
      <c r="AH110" s="2"/>
      <c r="AI110" s="2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ht="14.25" customHeight="1">
      <c r="A111" s="8"/>
      <c r="B111" s="89" t="s">
        <v>3</v>
      </c>
      <c r="C111" s="89"/>
      <c r="D111" s="89" t="s">
        <v>2</v>
      </c>
      <c r="E111" s="89"/>
      <c r="F111" s="89" t="s">
        <v>1</v>
      </c>
      <c r="G111" s="89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3"/>
      <c r="S111" s="3"/>
      <c r="T111" s="2"/>
      <c r="U111" s="2"/>
      <c r="V111" s="2"/>
      <c r="W111" s="4"/>
      <c r="X111" s="4"/>
      <c r="Y111" s="4"/>
      <c r="Z111" s="5"/>
      <c r="AA111" s="5"/>
      <c r="AB111" s="5"/>
      <c r="AC111" s="5"/>
      <c r="AD111" s="5"/>
      <c r="AE111" s="5"/>
      <c r="AF111" s="5"/>
      <c r="AG111" s="2"/>
      <c r="AH111" s="2"/>
      <c r="AI111" s="2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ht="14.25" customHeight="1">
      <c r="A112" s="1" t="s">
        <v>252</v>
      </c>
      <c r="B112" s="13" t="s">
        <v>89</v>
      </c>
      <c r="C112" s="13" t="s">
        <v>90</v>
      </c>
      <c r="D112" s="13" t="s">
        <v>89</v>
      </c>
      <c r="E112" s="13" t="s">
        <v>90</v>
      </c>
      <c r="F112" s="13" t="s">
        <v>89</v>
      </c>
      <c r="G112" s="13" t="s">
        <v>90</v>
      </c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3"/>
      <c r="S112" s="3"/>
      <c r="T112" s="2"/>
      <c r="U112" s="2"/>
      <c r="V112" s="2"/>
      <c r="W112" s="4"/>
      <c r="X112" s="4"/>
      <c r="Y112" s="4"/>
      <c r="Z112" s="5"/>
      <c r="AA112" s="5"/>
      <c r="AB112" s="5"/>
      <c r="AC112" s="5"/>
      <c r="AD112" s="5"/>
      <c r="AE112" s="5"/>
      <c r="AF112" s="5"/>
      <c r="AG112" s="2"/>
      <c r="AH112" s="2"/>
      <c r="AI112" s="2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ht="14.25" customHeight="1">
      <c r="A113" s="1" t="s">
        <v>228</v>
      </c>
      <c r="B113" s="2">
        <v>31.528814012240485</v>
      </c>
      <c r="C113" s="2">
        <v>2.1663826544825238</v>
      </c>
      <c r="D113" s="2">
        <v>32.326051575225151</v>
      </c>
      <c r="E113" s="2">
        <v>2.8706323594916459</v>
      </c>
      <c r="F113" s="2">
        <v>34.162743023214105</v>
      </c>
      <c r="G113" s="2">
        <v>2.9577229145785942</v>
      </c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3"/>
      <c r="S113" s="3"/>
      <c r="T113" s="2"/>
      <c r="U113" s="2"/>
      <c r="V113" s="2"/>
      <c r="W113" s="4"/>
      <c r="X113" s="4"/>
      <c r="Y113" s="4"/>
      <c r="Z113" s="5"/>
      <c r="AA113" s="5"/>
      <c r="AB113" s="5"/>
      <c r="AC113" s="5"/>
      <c r="AD113" s="5"/>
      <c r="AE113" s="5"/>
      <c r="AF113" s="5"/>
      <c r="AG113" s="2"/>
      <c r="AH113" s="2"/>
      <c r="AI113" s="2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ht="14.25" customHeight="1">
      <c r="A114" s="8" t="s">
        <v>8</v>
      </c>
      <c r="B114" s="2">
        <v>17.270606013249441</v>
      </c>
      <c r="C114" s="2">
        <v>2.4941500975580673</v>
      </c>
      <c r="D114" s="2">
        <v>19.079652295825728</v>
      </c>
      <c r="E114" s="2">
        <v>2.0267739517903678</v>
      </c>
      <c r="F114" s="2">
        <v>19.728751182556124</v>
      </c>
      <c r="G114" s="2">
        <v>1.9639850534628531</v>
      </c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3"/>
      <c r="S114" s="3"/>
      <c r="T114" s="2"/>
      <c r="U114" s="2"/>
      <c r="V114" s="2"/>
      <c r="W114" s="4"/>
      <c r="X114" s="4"/>
      <c r="Y114" s="4"/>
      <c r="Z114" s="5"/>
      <c r="AA114" s="5"/>
      <c r="AB114" s="5"/>
      <c r="AC114" s="5"/>
      <c r="AD114" s="5"/>
      <c r="AE114" s="5"/>
      <c r="AF114" s="5"/>
      <c r="AG114" s="2"/>
      <c r="AH114" s="2"/>
      <c r="AI114" s="2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ht="14.25" customHeight="1">
      <c r="A115" s="8" t="s">
        <v>19</v>
      </c>
      <c r="B115" s="2">
        <v>10.445262814270093</v>
      </c>
      <c r="C115" s="2">
        <v>1.6632404437444905</v>
      </c>
      <c r="D115" s="2">
        <v>8.7109290945767999</v>
      </c>
      <c r="E115" s="2">
        <v>1.0297781102867343</v>
      </c>
      <c r="F115" s="2">
        <v>9.9834514728228676</v>
      </c>
      <c r="G115" s="2">
        <v>0.53229391281658078</v>
      </c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3"/>
      <c r="S115" s="3"/>
      <c r="T115" s="2"/>
      <c r="U115" s="2"/>
      <c r="V115" s="2"/>
      <c r="W115" s="4"/>
      <c r="X115" s="4"/>
      <c r="Y115" s="4"/>
      <c r="Z115" s="5"/>
      <c r="AA115" s="5"/>
      <c r="AB115" s="5"/>
      <c r="AC115" s="5"/>
      <c r="AD115" s="5"/>
      <c r="AE115" s="5"/>
      <c r="AF115" s="5"/>
      <c r="AG115" s="2"/>
      <c r="AH115" s="2"/>
      <c r="AI115" s="2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ht="14.25" customHeight="1">
      <c r="A116" s="1" t="s">
        <v>7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3"/>
      <c r="S116" s="3"/>
      <c r="T116" s="2"/>
      <c r="U116" s="2"/>
      <c r="V116" s="2"/>
      <c r="W116" s="4"/>
      <c r="X116" s="4"/>
      <c r="Y116" s="4"/>
      <c r="Z116" s="5"/>
      <c r="AA116" s="5"/>
      <c r="AB116" s="5"/>
      <c r="AC116" s="5"/>
      <c r="AD116" s="5"/>
      <c r="AE116" s="5"/>
      <c r="AF116" s="5"/>
      <c r="AG116" s="2"/>
      <c r="AH116" s="2"/>
      <c r="AI116" s="2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ht="14.25" customHeight="1">
      <c r="A117" s="1" t="s">
        <v>15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3"/>
      <c r="S117" s="3"/>
      <c r="T117" s="2"/>
      <c r="U117" s="2"/>
      <c r="V117" s="2"/>
      <c r="W117" s="4"/>
      <c r="X117" s="4"/>
      <c r="Y117" s="4"/>
      <c r="Z117" s="5"/>
      <c r="AA117" s="5"/>
      <c r="AB117" s="5"/>
      <c r="AC117" s="5"/>
      <c r="AD117" s="5"/>
      <c r="AE117" s="5"/>
      <c r="AF117" s="5"/>
      <c r="AG117" s="2"/>
      <c r="AH117" s="2"/>
      <c r="AI117" s="2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ht="14.25" customHeight="1">
      <c r="A118" s="1" t="s">
        <v>229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3"/>
      <c r="S118" s="3"/>
      <c r="T118" s="2"/>
      <c r="U118" s="2"/>
      <c r="V118" s="2"/>
      <c r="W118" s="4"/>
      <c r="X118" s="4"/>
      <c r="Y118" s="4"/>
      <c r="Z118" s="5"/>
      <c r="AA118" s="5"/>
      <c r="AB118" s="5"/>
      <c r="AC118" s="5"/>
      <c r="AD118" s="5"/>
      <c r="AE118" s="5"/>
      <c r="AF118" s="5"/>
      <c r="AG118" s="2"/>
      <c r="AH118" s="2"/>
      <c r="AI118" s="2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ht="14.25" customHeight="1">
      <c r="A119" s="8" t="s">
        <v>230</v>
      </c>
      <c r="B119" s="2">
        <v>0.50826568280738971</v>
      </c>
      <c r="C119" s="2">
        <v>9.1931927211066342E-2</v>
      </c>
      <c r="D119" s="2">
        <v>0.57627765589554603</v>
      </c>
      <c r="E119" s="2">
        <v>4.9585543105993724E-2</v>
      </c>
      <c r="F119" s="2">
        <v>0.6125441517807334</v>
      </c>
      <c r="G119" s="2">
        <v>0.12770112491936225</v>
      </c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3"/>
      <c r="S119" s="3"/>
      <c r="T119" s="2"/>
      <c r="U119" s="2"/>
      <c r="V119" s="2"/>
      <c r="W119" s="4"/>
      <c r="X119" s="4"/>
      <c r="Y119" s="4"/>
      <c r="Z119" s="5"/>
      <c r="AA119" s="5"/>
      <c r="AB119" s="5"/>
      <c r="AC119" s="5"/>
      <c r="AD119" s="5"/>
      <c r="AE119" s="5"/>
      <c r="AF119" s="5"/>
      <c r="AG119" s="2"/>
      <c r="AH119" s="2"/>
      <c r="AI119" s="2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ht="14.25" customHeight="1">
      <c r="A120" s="8" t="s">
        <v>10</v>
      </c>
      <c r="B120" s="2">
        <v>1.4896115990299796</v>
      </c>
      <c r="C120" s="2">
        <v>0.55339228278918939</v>
      </c>
      <c r="D120" s="2">
        <v>1.9350938414126737</v>
      </c>
      <c r="E120" s="2">
        <v>0.41366109163397702</v>
      </c>
      <c r="F120" s="2">
        <v>1.7587560124357111</v>
      </c>
      <c r="G120" s="2">
        <v>0.55195158148221701</v>
      </c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3"/>
      <c r="S120" s="3"/>
      <c r="T120" s="2"/>
      <c r="U120" s="2"/>
      <c r="V120" s="2"/>
      <c r="W120" s="4"/>
      <c r="X120" s="4"/>
      <c r="Y120" s="4"/>
      <c r="Z120" s="5"/>
      <c r="AA120" s="5"/>
      <c r="AB120" s="5"/>
      <c r="AC120" s="5"/>
      <c r="AD120" s="5"/>
      <c r="AE120" s="5"/>
      <c r="AF120" s="5"/>
      <c r="AG120" s="2"/>
      <c r="AH120" s="2"/>
      <c r="AI120" s="2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ht="14.25" customHeight="1">
      <c r="A121" s="8" t="s">
        <v>231</v>
      </c>
      <c r="B121" s="2">
        <v>22.928237904423561</v>
      </c>
      <c r="C121" s="2">
        <v>6.0463341476903327</v>
      </c>
      <c r="D121" s="2">
        <v>25.653393924528622</v>
      </c>
      <c r="E121" s="2">
        <v>3.4198800603199513</v>
      </c>
      <c r="F121" s="2">
        <v>26.92954912490034</v>
      </c>
      <c r="G121" s="2">
        <v>6.0115515112305689</v>
      </c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3"/>
      <c r="S121" s="3"/>
      <c r="T121" s="2"/>
      <c r="U121" s="2"/>
      <c r="V121" s="2"/>
      <c r="W121" s="4"/>
      <c r="X121" s="4"/>
      <c r="Y121" s="4"/>
      <c r="Z121" s="5"/>
      <c r="AA121" s="5"/>
      <c r="AB121" s="5"/>
      <c r="AC121" s="5"/>
      <c r="AD121" s="5"/>
      <c r="AE121" s="5"/>
      <c r="AF121" s="5"/>
      <c r="AG121" s="2"/>
      <c r="AH121" s="2"/>
      <c r="AI121" s="2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ht="14.25" customHeight="1">
      <c r="A122" s="8" t="s">
        <v>232</v>
      </c>
      <c r="B122" s="2">
        <v>3.1221775266741978</v>
      </c>
      <c r="C122" s="2">
        <v>0.55490044656775162</v>
      </c>
      <c r="D122" s="2">
        <v>3.0655066435558758</v>
      </c>
      <c r="E122" s="2">
        <v>0.47777530150292358</v>
      </c>
      <c r="F122" s="2">
        <v>3.5119123537736714</v>
      </c>
      <c r="G122" s="2">
        <v>0.28860530681417407</v>
      </c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3"/>
      <c r="S122" s="3"/>
      <c r="T122" s="2"/>
      <c r="U122" s="2"/>
      <c r="V122" s="2"/>
      <c r="W122" s="4"/>
      <c r="X122" s="4"/>
      <c r="Y122" s="4"/>
      <c r="Z122" s="5"/>
      <c r="AA122" s="5"/>
      <c r="AB122" s="5"/>
      <c r="AC122" s="5"/>
      <c r="AD122" s="5"/>
      <c r="AE122" s="5"/>
      <c r="AF122" s="5"/>
      <c r="AG122" s="2"/>
      <c r="AH122" s="2"/>
      <c r="AI122" s="2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ht="14.25" customHeight="1">
      <c r="A123" s="1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3"/>
      <c r="S123" s="3"/>
      <c r="T123" s="2"/>
      <c r="U123" s="2"/>
      <c r="V123" s="2"/>
      <c r="W123" s="4"/>
      <c r="X123" s="4"/>
      <c r="Y123" s="4"/>
      <c r="Z123" s="5"/>
      <c r="AA123" s="5"/>
      <c r="AB123" s="5"/>
      <c r="AC123" s="5"/>
      <c r="AD123" s="5"/>
      <c r="AE123" s="5"/>
      <c r="AF123" s="5"/>
      <c r="AG123" s="2"/>
      <c r="AH123" s="2"/>
      <c r="AI123" s="2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ht="14.25" customHeight="1">
      <c r="A124" s="8" t="s">
        <v>234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3"/>
      <c r="S124" s="3"/>
      <c r="T124" s="2"/>
      <c r="U124" s="2"/>
      <c r="V124" s="2"/>
      <c r="W124" s="4"/>
      <c r="X124" s="4"/>
      <c r="Y124" s="4"/>
      <c r="Z124" s="5"/>
      <c r="AA124" s="5"/>
      <c r="AB124" s="5"/>
      <c r="AC124" s="5"/>
      <c r="AD124" s="5"/>
      <c r="AE124" s="5"/>
      <c r="AF124" s="5"/>
      <c r="AG124" s="2"/>
      <c r="AH124" s="2"/>
      <c r="AI124" s="2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ht="14.25" customHeight="1">
      <c r="A125" s="8" t="s">
        <v>235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3"/>
      <c r="S125" s="3"/>
      <c r="T125" s="2"/>
      <c r="U125" s="2"/>
      <c r="V125" s="2"/>
      <c r="W125" s="4"/>
      <c r="X125" s="4"/>
      <c r="Y125" s="4"/>
      <c r="Z125" s="5"/>
      <c r="AA125" s="5"/>
      <c r="AB125" s="5"/>
      <c r="AC125" s="5"/>
      <c r="AD125" s="5"/>
      <c r="AE125" s="5"/>
      <c r="AF125" s="5"/>
      <c r="AG125" s="2"/>
      <c r="AH125" s="2"/>
      <c r="AI125" s="2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ht="14.25" customHeight="1">
      <c r="A126" s="8" t="s">
        <v>236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3"/>
      <c r="S126" s="3"/>
      <c r="T126" s="2"/>
      <c r="U126" s="2"/>
      <c r="V126" s="2"/>
      <c r="W126" s="4"/>
      <c r="X126" s="4"/>
      <c r="Y126" s="4"/>
      <c r="Z126" s="5"/>
      <c r="AA126" s="5"/>
      <c r="AB126" s="5"/>
      <c r="AC126" s="5"/>
      <c r="AD126" s="5"/>
      <c r="AE126" s="5"/>
      <c r="AF126" s="5"/>
      <c r="AG126" s="2"/>
      <c r="AH126" s="2"/>
      <c r="AI126" s="2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ht="14.25" customHeight="1">
      <c r="A127" s="8" t="s">
        <v>237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3"/>
      <c r="S127" s="3"/>
      <c r="T127" s="2"/>
      <c r="U127" s="2"/>
      <c r="V127" s="2"/>
      <c r="W127" s="4"/>
      <c r="X127" s="4"/>
      <c r="Y127" s="4"/>
      <c r="Z127" s="5"/>
      <c r="AA127" s="5"/>
      <c r="AB127" s="5"/>
      <c r="AC127" s="5"/>
      <c r="AD127" s="5"/>
      <c r="AE127" s="5"/>
      <c r="AF127" s="5"/>
      <c r="AG127" s="2"/>
      <c r="AH127" s="2"/>
      <c r="AI127" s="2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ht="14.25" customHeight="1">
      <c r="A128" s="8" t="s">
        <v>238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3"/>
      <c r="S128" s="3"/>
      <c r="T128" s="2"/>
      <c r="U128" s="2"/>
      <c r="V128" s="2"/>
      <c r="W128" s="4"/>
      <c r="X128" s="4"/>
      <c r="Y128" s="4"/>
      <c r="Z128" s="5"/>
      <c r="AA128" s="5"/>
      <c r="AB128" s="5"/>
      <c r="AC128" s="5"/>
      <c r="AD128" s="5"/>
      <c r="AE128" s="5"/>
      <c r="AF128" s="5"/>
      <c r="AG128" s="2"/>
      <c r="AH128" s="2"/>
      <c r="AI128" s="2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ht="14.25" customHeight="1">
      <c r="A129" s="8" t="s">
        <v>239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3"/>
      <c r="S129" s="3"/>
      <c r="T129" s="2"/>
      <c r="U129" s="2"/>
      <c r="V129" s="2"/>
      <c r="W129" s="4"/>
      <c r="X129" s="4"/>
      <c r="Y129" s="4"/>
      <c r="Z129" s="5"/>
      <c r="AA129" s="5"/>
      <c r="AB129" s="5"/>
      <c r="AC129" s="5"/>
      <c r="AD129" s="5"/>
      <c r="AE129" s="5"/>
      <c r="AF129" s="5"/>
      <c r="AG129" s="2"/>
      <c r="AH129" s="2"/>
      <c r="AI129" s="2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ht="14.25" customHeight="1">
      <c r="A130" s="8" t="s">
        <v>240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3"/>
      <c r="S130" s="3"/>
      <c r="T130" s="2"/>
      <c r="U130" s="2"/>
      <c r="V130" s="2"/>
      <c r="W130" s="4"/>
      <c r="X130" s="4"/>
      <c r="Y130" s="4"/>
      <c r="Z130" s="5"/>
      <c r="AA130" s="5"/>
      <c r="AB130" s="5"/>
      <c r="AC130" s="5"/>
      <c r="AD130" s="5"/>
      <c r="AE130" s="5"/>
      <c r="AF130" s="5"/>
      <c r="AG130" s="2"/>
      <c r="AH130" s="2"/>
      <c r="AI130" s="2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ht="14.25" customHeight="1">
      <c r="A131" s="1" t="s">
        <v>241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3"/>
      <c r="S131" s="3"/>
      <c r="T131" s="2"/>
      <c r="U131" s="2"/>
      <c r="V131" s="2"/>
      <c r="W131" s="4"/>
      <c r="X131" s="4"/>
      <c r="Y131" s="4"/>
      <c r="Z131" s="5"/>
      <c r="AA131" s="5"/>
      <c r="AB131" s="5"/>
      <c r="AC131" s="5"/>
      <c r="AD131" s="5"/>
      <c r="AE131" s="5"/>
      <c r="AF131" s="5"/>
      <c r="AG131" s="2"/>
      <c r="AH131" s="2"/>
      <c r="AI131" s="2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ht="14.25" customHeight="1">
      <c r="A132" s="8" t="s">
        <v>242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3"/>
      <c r="S132" s="3"/>
      <c r="T132" s="2"/>
      <c r="U132" s="2"/>
      <c r="V132" s="2"/>
      <c r="W132" s="4"/>
      <c r="X132" s="4"/>
      <c r="Y132" s="4"/>
      <c r="Z132" s="5"/>
      <c r="AA132" s="5"/>
      <c r="AB132" s="5"/>
      <c r="AC132" s="5"/>
      <c r="AD132" s="5"/>
      <c r="AE132" s="5"/>
      <c r="AF132" s="5"/>
      <c r="AG132" s="2"/>
      <c r="AH132" s="2"/>
      <c r="AI132" s="2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ht="14.25" customHeight="1">
      <c r="A133" s="8" t="s">
        <v>243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3"/>
      <c r="S133" s="3"/>
      <c r="T133" s="2"/>
      <c r="U133" s="2"/>
      <c r="V133" s="2"/>
      <c r="W133" s="4"/>
      <c r="X133" s="4"/>
      <c r="Y133" s="4"/>
      <c r="Z133" s="5"/>
      <c r="AA133" s="5"/>
      <c r="AB133" s="5"/>
      <c r="AC133" s="5"/>
      <c r="AD133" s="5"/>
      <c r="AE133" s="5"/>
      <c r="AF133" s="5"/>
      <c r="AG133" s="2"/>
      <c r="AH133" s="2"/>
      <c r="AI133" s="2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ht="14.25" customHeight="1">
      <c r="A134" s="8" t="s">
        <v>244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3"/>
      <c r="S134" s="3"/>
      <c r="T134" s="2"/>
      <c r="U134" s="2"/>
      <c r="V134" s="2"/>
      <c r="W134" s="4"/>
      <c r="X134" s="4"/>
      <c r="Y134" s="4"/>
      <c r="Z134" s="5"/>
      <c r="AA134" s="5"/>
      <c r="AB134" s="5"/>
      <c r="AC134" s="5"/>
      <c r="AD134" s="5"/>
      <c r="AE134" s="5"/>
      <c r="AF134" s="5"/>
      <c r="AG134" s="2"/>
      <c r="AH134" s="2"/>
      <c r="AI134" s="2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ht="14.25" customHeight="1">
      <c r="A135" s="8" t="s">
        <v>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3"/>
      <c r="S135" s="3"/>
      <c r="T135" s="2"/>
      <c r="U135" s="2"/>
      <c r="V135" s="2"/>
      <c r="W135" s="4"/>
      <c r="X135" s="4"/>
      <c r="Y135" s="4"/>
      <c r="Z135" s="5"/>
      <c r="AA135" s="5"/>
      <c r="AB135" s="5"/>
      <c r="AC135" s="5"/>
      <c r="AD135" s="5"/>
      <c r="AE135" s="5"/>
      <c r="AF135" s="5"/>
      <c r="AG135" s="2"/>
      <c r="AH135" s="2"/>
      <c r="AI135" s="2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ht="14.25" customHeight="1">
      <c r="A136" s="8" t="s">
        <v>245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3"/>
      <c r="S136" s="3"/>
      <c r="T136" s="2"/>
      <c r="U136" s="2"/>
      <c r="V136" s="2"/>
      <c r="W136" s="4"/>
      <c r="X136" s="4"/>
      <c r="Y136" s="4"/>
      <c r="Z136" s="5"/>
      <c r="AA136" s="5"/>
      <c r="AB136" s="5"/>
      <c r="AC136" s="5"/>
      <c r="AD136" s="5"/>
      <c r="AE136" s="5"/>
      <c r="AF136" s="5"/>
      <c r="AG136" s="2"/>
      <c r="AH136" s="2"/>
      <c r="AI136" s="2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ht="14.25" customHeight="1">
      <c r="A137" s="8" t="s">
        <v>246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3"/>
      <c r="S137" s="3"/>
      <c r="T137" s="2"/>
      <c r="U137" s="2"/>
      <c r="V137" s="2"/>
      <c r="W137" s="4"/>
      <c r="X137" s="4"/>
      <c r="Y137" s="4"/>
      <c r="Z137" s="5"/>
      <c r="AA137" s="5"/>
      <c r="AB137" s="5"/>
      <c r="AC137" s="5"/>
      <c r="AD137" s="5"/>
      <c r="AE137" s="5"/>
      <c r="AF137" s="5"/>
      <c r="AG137" s="2"/>
      <c r="AH137" s="2"/>
      <c r="AI137" s="2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ht="14.25" customHeight="1">
      <c r="A138" s="8" t="s">
        <v>247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3"/>
      <c r="S138" s="3"/>
      <c r="T138" s="2"/>
      <c r="U138" s="2"/>
      <c r="V138" s="2"/>
      <c r="W138" s="4"/>
      <c r="X138" s="4"/>
      <c r="Y138" s="4"/>
      <c r="Z138" s="5"/>
      <c r="AA138" s="5"/>
      <c r="AB138" s="5"/>
      <c r="AC138" s="5"/>
      <c r="AD138" s="5"/>
      <c r="AE138" s="5"/>
      <c r="AF138" s="5"/>
      <c r="AG138" s="2"/>
      <c r="AH138" s="2"/>
      <c r="AI138" s="2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ht="14.25" customHeight="1">
      <c r="A139" s="1" t="s">
        <v>248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3"/>
      <c r="S139" s="3"/>
      <c r="T139" s="2"/>
      <c r="U139" s="2"/>
      <c r="V139" s="2"/>
      <c r="W139" s="4"/>
      <c r="X139" s="4"/>
      <c r="Y139" s="4"/>
      <c r="Z139" s="5"/>
      <c r="AA139" s="5"/>
      <c r="AB139" s="5"/>
      <c r="AC139" s="5"/>
      <c r="AD139" s="5"/>
      <c r="AE139" s="5"/>
      <c r="AF139" s="5"/>
      <c r="AG139" s="2"/>
      <c r="AH139" s="2"/>
      <c r="AI139" s="2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ht="14.25" customHeight="1">
      <c r="A140" s="1" t="s">
        <v>249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3"/>
      <c r="S140" s="3"/>
      <c r="T140" s="2"/>
      <c r="U140" s="2"/>
      <c r="V140" s="2"/>
      <c r="W140" s="4"/>
      <c r="X140" s="4"/>
      <c r="Y140" s="4"/>
      <c r="Z140" s="5"/>
      <c r="AA140" s="5"/>
      <c r="AB140" s="5"/>
      <c r="AC140" s="5"/>
      <c r="AD140" s="5"/>
      <c r="AE140" s="5"/>
      <c r="AF140" s="5"/>
      <c r="AG140" s="2"/>
      <c r="AH140" s="2"/>
      <c r="AI140" s="2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ht="14.25" customHeight="1">
      <c r="A141" s="1" t="s">
        <v>250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3"/>
      <c r="S141" s="3"/>
      <c r="T141" s="2"/>
      <c r="U141" s="2"/>
      <c r="V141" s="2"/>
      <c r="W141" s="4"/>
      <c r="X141" s="4"/>
      <c r="Y141" s="4"/>
      <c r="Z141" s="5"/>
      <c r="AA141" s="5"/>
      <c r="AB141" s="5"/>
      <c r="AC141" s="5"/>
      <c r="AD141" s="5"/>
      <c r="AE141" s="5"/>
      <c r="AF141" s="5"/>
      <c r="AG141" s="2"/>
      <c r="AH141" s="2"/>
      <c r="AI141" s="2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ht="14.25" customHeight="1">
      <c r="A142" s="1" t="s">
        <v>251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3"/>
      <c r="S142" s="3"/>
      <c r="T142" s="2"/>
      <c r="U142" s="2"/>
      <c r="V142" s="2"/>
      <c r="W142" s="4"/>
      <c r="X142" s="4"/>
      <c r="Y142" s="4"/>
      <c r="Z142" s="5"/>
      <c r="AA142" s="5"/>
      <c r="AB142" s="5"/>
      <c r="AC142" s="5"/>
      <c r="AD142" s="5"/>
      <c r="AE142" s="5"/>
      <c r="AF142" s="5"/>
      <c r="AG142" s="2"/>
      <c r="AH142" s="2"/>
      <c r="AI142" s="2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ht="14.25" customHeight="1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3"/>
      <c r="S143" s="3"/>
      <c r="T143" s="2"/>
      <c r="U143" s="2"/>
      <c r="V143" s="2"/>
      <c r="W143" s="4"/>
      <c r="X143" s="4"/>
      <c r="Y143" s="4"/>
      <c r="Z143" s="5"/>
      <c r="AA143" s="5"/>
      <c r="AB143" s="5"/>
      <c r="AC143" s="5"/>
      <c r="AD143" s="5"/>
      <c r="AE143" s="5"/>
      <c r="AF143" s="5"/>
      <c r="AG143" s="2"/>
      <c r="AH143" s="2"/>
      <c r="AI143" s="2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ht="14.25" customHeight="1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3"/>
      <c r="S144" s="3"/>
      <c r="T144" s="2"/>
      <c r="U144" s="2"/>
      <c r="V144" s="2"/>
      <c r="W144" s="4"/>
      <c r="X144" s="4"/>
      <c r="Y144" s="4"/>
      <c r="Z144" s="5"/>
      <c r="AA144" s="5"/>
      <c r="AB144" s="5"/>
      <c r="AC144" s="5"/>
      <c r="AD144" s="5"/>
      <c r="AE144" s="5"/>
      <c r="AF144" s="5"/>
      <c r="AG144" s="2"/>
      <c r="AH144" s="2"/>
      <c r="AI144" s="2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ht="14.25" customHeight="1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3"/>
      <c r="S145" s="3"/>
      <c r="T145" s="2"/>
      <c r="U145" s="2"/>
      <c r="V145" s="2"/>
      <c r="W145" s="4"/>
      <c r="X145" s="4"/>
      <c r="Y145" s="4"/>
      <c r="Z145" s="5"/>
      <c r="AA145" s="5"/>
      <c r="AB145" s="5"/>
      <c r="AC145" s="5"/>
      <c r="AD145" s="5"/>
      <c r="AE145" s="5"/>
      <c r="AF145" s="5"/>
      <c r="AG145" s="2"/>
      <c r="AH145" s="2"/>
      <c r="AI145" s="2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ht="14.25" customHeight="1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3"/>
      <c r="S146" s="3"/>
      <c r="T146" s="2"/>
      <c r="U146" s="2"/>
      <c r="V146" s="2"/>
      <c r="W146" s="4"/>
      <c r="X146" s="4"/>
      <c r="Y146" s="4"/>
      <c r="Z146" s="5"/>
      <c r="AA146" s="5"/>
      <c r="AB146" s="5"/>
      <c r="AC146" s="5"/>
      <c r="AD146" s="5"/>
      <c r="AE146" s="5"/>
      <c r="AF146" s="5"/>
      <c r="AG146" s="2"/>
      <c r="AH146" s="2"/>
      <c r="AI146" s="2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ht="14.25" customHeight="1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3"/>
      <c r="S147" s="3"/>
      <c r="T147" s="2"/>
      <c r="U147" s="2"/>
      <c r="V147" s="2"/>
      <c r="W147" s="4"/>
      <c r="X147" s="4"/>
      <c r="Y147" s="4"/>
      <c r="Z147" s="5"/>
      <c r="AA147" s="5"/>
      <c r="AB147" s="5"/>
      <c r="AC147" s="5"/>
      <c r="AD147" s="5"/>
      <c r="AE147" s="5"/>
      <c r="AF147" s="5"/>
      <c r="AG147" s="2"/>
      <c r="AH147" s="2"/>
      <c r="AI147" s="2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ht="14.25" customHeight="1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3"/>
      <c r="S148" s="3"/>
      <c r="T148" s="2"/>
      <c r="U148" s="2"/>
      <c r="V148" s="2"/>
      <c r="W148" s="4"/>
      <c r="X148" s="4"/>
      <c r="Y148" s="4"/>
      <c r="Z148" s="5"/>
      <c r="AA148" s="5"/>
      <c r="AB148" s="5"/>
      <c r="AC148" s="5"/>
      <c r="AD148" s="5"/>
      <c r="AE148" s="5"/>
      <c r="AF148" s="5"/>
      <c r="AG148" s="2"/>
      <c r="AH148" s="2"/>
      <c r="AI148" s="2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ht="14.25" customHeight="1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3"/>
      <c r="S149" s="3"/>
      <c r="T149" s="2"/>
      <c r="U149" s="2"/>
      <c r="V149" s="2"/>
      <c r="W149" s="4"/>
      <c r="X149" s="4"/>
      <c r="Y149" s="4"/>
      <c r="Z149" s="5"/>
      <c r="AA149" s="5"/>
      <c r="AB149" s="5"/>
      <c r="AC149" s="5"/>
      <c r="AD149" s="5"/>
      <c r="AE149" s="5"/>
      <c r="AF149" s="5"/>
      <c r="AG149" s="2"/>
      <c r="AH149" s="2"/>
      <c r="AI149" s="2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ht="14.25" customHeight="1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3"/>
      <c r="S150" s="3"/>
      <c r="T150" s="2"/>
      <c r="U150" s="2"/>
      <c r="V150" s="2"/>
      <c r="W150" s="4"/>
      <c r="X150" s="4"/>
      <c r="Y150" s="4"/>
      <c r="Z150" s="5"/>
      <c r="AA150" s="5"/>
      <c r="AB150" s="5"/>
      <c r="AC150" s="5"/>
      <c r="AD150" s="5"/>
      <c r="AE150" s="5"/>
      <c r="AF150" s="5"/>
      <c r="AG150" s="2"/>
      <c r="AH150" s="2"/>
      <c r="AI150" s="2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ht="14.25" customHeight="1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3"/>
      <c r="S151" s="3"/>
      <c r="T151" s="2"/>
      <c r="U151" s="2"/>
      <c r="V151" s="2"/>
      <c r="W151" s="4"/>
      <c r="X151" s="4"/>
      <c r="Y151" s="4"/>
      <c r="Z151" s="5"/>
      <c r="AA151" s="5"/>
      <c r="AB151" s="5"/>
      <c r="AC151" s="5"/>
      <c r="AD151" s="5"/>
      <c r="AE151" s="5"/>
      <c r="AF151" s="5"/>
      <c r="AG151" s="2"/>
      <c r="AH151" s="2"/>
      <c r="AI151" s="2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ht="14.25" customHeight="1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3"/>
      <c r="S152" s="3"/>
      <c r="T152" s="2"/>
      <c r="U152" s="2"/>
      <c r="V152" s="2"/>
      <c r="W152" s="4"/>
      <c r="X152" s="4"/>
      <c r="Y152" s="4"/>
      <c r="Z152" s="5"/>
      <c r="AA152" s="5"/>
      <c r="AB152" s="5"/>
      <c r="AC152" s="5"/>
      <c r="AD152" s="5"/>
      <c r="AE152" s="5"/>
      <c r="AF152" s="5"/>
      <c r="AG152" s="2"/>
      <c r="AH152" s="2"/>
      <c r="AI152" s="2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ht="14.25" customHeight="1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3"/>
      <c r="S153" s="3"/>
      <c r="T153" s="2"/>
      <c r="U153" s="2"/>
      <c r="V153" s="2"/>
      <c r="W153" s="4"/>
      <c r="X153" s="4"/>
      <c r="Y153" s="4"/>
      <c r="Z153" s="5"/>
      <c r="AA153" s="5"/>
      <c r="AB153" s="5"/>
      <c r="AC153" s="5"/>
      <c r="AD153" s="5"/>
      <c r="AE153" s="5"/>
      <c r="AF153" s="5"/>
      <c r="AG153" s="2"/>
      <c r="AH153" s="2"/>
      <c r="AI153" s="2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ht="14.25" customHeight="1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3"/>
      <c r="S154" s="3"/>
      <c r="T154" s="2"/>
      <c r="U154" s="2"/>
      <c r="V154" s="2"/>
      <c r="W154" s="4"/>
      <c r="X154" s="4"/>
      <c r="Y154" s="4"/>
      <c r="Z154" s="5"/>
      <c r="AA154" s="5"/>
      <c r="AB154" s="5"/>
      <c r="AC154" s="5"/>
      <c r="AD154" s="5"/>
      <c r="AE154" s="5"/>
      <c r="AF154" s="5"/>
      <c r="AG154" s="2"/>
      <c r="AH154" s="2"/>
      <c r="AI154" s="2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ht="14.25" customHeight="1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3"/>
      <c r="S155" s="3"/>
      <c r="T155" s="2"/>
      <c r="U155" s="2"/>
      <c r="V155" s="2"/>
      <c r="W155" s="4"/>
      <c r="X155" s="4"/>
      <c r="Y155" s="4"/>
      <c r="Z155" s="5"/>
      <c r="AA155" s="5"/>
      <c r="AB155" s="5"/>
      <c r="AC155" s="5"/>
      <c r="AD155" s="5"/>
      <c r="AE155" s="5"/>
      <c r="AF155" s="5"/>
      <c r="AG155" s="2"/>
      <c r="AH155" s="2"/>
      <c r="AI155" s="2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ht="14.25" customHeight="1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3"/>
      <c r="S156" s="3"/>
      <c r="T156" s="2"/>
      <c r="U156" s="2"/>
      <c r="V156" s="2"/>
      <c r="W156" s="4"/>
      <c r="X156" s="4"/>
      <c r="Y156" s="4"/>
      <c r="Z156" s="5"/>
      <c r="AA156" s="5"/>
      <c r="AB156" s="5"/>
      <c r="AC156" s="5"/>
      <c r="AD156" s="5"/>
      <c r="AE156" s="5"/>
      <c r="AF156" s="5"/>
      <c r="AG156" s="2"/>
      <c r="AH156" s="2"/>
      <c r="AI156" s="2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ht="14.25" customHeight="1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3"/>
      <c r="S157" s="3"/>
      <c r="T157" s="2"/>
      <c r="U157" s="2"/>
      <c r="V157" s="2"/>
      <c r="W157" s="4"/>
      <c r="X157" s="4"/>
      <c r="Y157" s="4"/>
      <c r="Z157" s="5"/>
      <c r="AA157" s="5"/>
      <c r="AB157" s="5"/>
      <c r="AC157" s="5"/>
      <c r="AD157" s="5"/>
      <c r="AE157" s="5"/>
      <c r="AF157" s="5"/>
      <c r="AG157" s="2"/>
      <c r="AH157" s="2"/>
      <c r="AI157" s="2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ht="14.25" customHeight="1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3"/>
      <c r="S158" s="3"/>
      <c r="T158" s="2"/>
      <c r="U158" s="2"/>
      <c r="V158" s="2"/>
      <c r="W158" s="4"/>
      <c r="X158" s="4"/>
      <c r="Y158" s="4"/>
      <c r="Z158" s="5"/>
      <c r="AA158" s="5"/>
      <c r="AB158" s="5"/>
      <c r="AC158" s="5"/>
      <c r="AD158" s="5"/>
      <c r="AE158" s="5"/>
      <c r="AF158" s="5"/>
      <c r="AG158" s="2"/>
      <c r="AH158" s="2"/>
      <c r="AI158" s="2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ht="14.25" customHeight="1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3"/>
      <c r="S159" s="3"/>
      <c r="T159" s="2"/>
      <c r="U159" s="2"/>
      <c r="V159" s="2"/>
      <c r="W159" s="4"/>
      <c r="X159" s="4"/>
      <c r="Y159" s="4"/>
      <c r="Z159" s="5"/>
      <c r="AA159" s="5"/>
      <c r="AB159" s="5"/>
      <c r="AC159" s="5"/>
      <c r="AD159" s="5"/>
      <c r="AE159" s="5"/>
      <c r="AF159" s="5"/>
      <c r="AG159" s="2"/>
      <c r="AH159" s="2"/>
      <c r="AI159" s="2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ht="14.25" customHeight="1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3"/>
      <c r="S160" s="3"/>
      <c r="T160" s="2"/>
      <c r="U160" s="2"/>
      <c r="V160" s="2"/>
      <c r="W160" s="4"/>
      <c r="X160" s="4"/>
      <c r="Y160" s="4"/>
      <c r="Z160" s="5"/>
      <c r="AA160" s="5"/>
      <c r="AB160" s="5"/>
      <c r="AC160" s="5"/>
      <c r="AD160" s="5"/>
      <c r="AE160" s="5"/>
      <c r="AF160" s="5"/>
      <c r="AG160" s="2"/>
      <c r="AH160" s="2"/>
      <c r="AI160" s="2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ht="14.25" customHeight="1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3"/>
      <c r="S161" s="3"/>
      <c r="T161" s="2"/>
      <c r="U161" s="2"/>
      <c r="V161" s="2"/>
      <c r="W161" s="4"/>
      <c r="X161" s="4"/>
      <c r="Y161" s="4"/>
      <c r="Z161" s="5"/>
      <c r="AA161" s="5"/>
      <c r="AB161" s="5"/>
      <c r="AC161" s="5"/>
      <c r="AD161" s="5"/>
      <c r="AE161" s="5"/>
      <c r="AF161" s="5"/>
      <c r="AG161" s="2"/>
      <c r="AH161" s="2"/>
      <c r="AI161" s="2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ht="14.25" customHeight="1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3"/>
      <c r="S162" s="3"/>
      <c r="T162" s="2"/>
      <c r="U162" s="2"/>
      <c r="V162" s="2"/>
      <c r="W162" s="4"/>
      <c r="X162" s="4"/>
      <c r="Y162" s="4"/>
      <c r="Z162" s="5"/>
      <c r="AA162" s="5"/>
      <c r="AB162" s="5"/>
      <c r="AC162" s="5"/>
      <c r="AD162" s="5"/>
      <c r="AE162" s="5"/>
      <c r="AF162" s="5"/>
      <c r="AG162" s="2"/>
      <c r="AH162" s="2"/>
      <c r="AI162" s="2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ht="14.25" customHeight="1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3"/>
      <c r="S163" s="3"/>
      <c r="T163" s="2"/>
      <c r="U163" s="2"/>
      <c r="V163" s="2"/>
      <c r="W163" s="4"/>
      <c r="X163" s="4"/>
      <c r="Y163" s="4"/>
      <c r="Z163" s="5"/>
      <c r="AA163" s="5"/>
      <c r="AB163" s="5"/>
      <c r="AC163" s="5"/>
      <c r="AD163" s="5"/>
      <c r="AE163" s="5"/>
      <c r="AF163" s="5"/>
      <c r="AG163" s="2"/>
      <c r="AH163" s="2"/>
      <c r="AI163" s="2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ht="14.25" customHeight="1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3"/>
      <c r="S164" s="3"/>
      <c r="T164" s="2"/>
      <c r="U164" s="2"/>
      <c r="V164" s="2"/>
      <c r="W164" s="4"/>
      <c r="X164" s="4"/>
      <c r="Y164" s="4"/>
      <c r="Z164" s="5"/>
      <c r="AA164" s="5"/>
      <c r="AB164" s="5"/>
      <c r="AC164" s="5"/>
      <c r="AD164" s="5"/>
      <c r="AE164" s="5"/>
      <c r="AF164" s="5"/>
      <c r="AG164" s="2"/>
      <c r="AH164" s="2"/>
      <c r="AI164" s="2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ht="14.25" customHeight="1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3"/>
      <c r="S165" s="3"/>
      <c r="T165" s="2"/>
      <c r="U165" s="2"/>
      <c r="V165" s="2"/>
      <c r="W165" s="4"/>
      <c r="X165" s="4"/>
      <c r="Y165" s="4"/>
      <c r="Z165" s="5"/>
      <c r="AA165" s="5"/>
      <c r="AB165" s="5"/>
      <c r="AC165" s="5"/>
      <c r="AD165" s="5"/>
      <c r="AE165" s="5"/>
      <c r="AF165" s="5"/>
      <c r="AG165" s="2"/>
      <c r="AH165" s="2"/>
      <c r="AI165" s="2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ht="14.25" customHeight="1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3"/>
      <c r="S166" s="3"/>
      <c r="T166" s="2"/>
      <c r="U166" s="2"/>
      <c r="V166" s="2"/>
      <c r="W166" s="4"/>
      <c r="X166" s="4"/>
      <c r="Y166" s="4"/>
      <c r="Z166" s="5"/>
      <c r="AA166" s="5"/>
      <c r="AB166" s="5"/>
      <c r="AC166" s="5"/>
      <c r="AD166" s="5"/>
      <c r="AE166" s="5"/>
      <c r="AF166" s="5"/>
      <c r="AG166" s="2"/>
      <c r="AH166" s="2"/>
      <c r="AI166" s="2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ht="14.25" customHeight="1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3"/>
      <c r="S167" s="3"/>
      <c r="T167" s="2"/>
      <c r="U167" s="2"/>
      <c r="V167" s="2"/>
      <c r="W167" s="4"/>
      <c r="X167" s="4"/>
      <c r="Y167" s="4"/>
      <c r="Z167" s="5"/>
      <c r="AA167" s="5"/>
      <c r="AB167" s="5"/>
      <c r="AC167" s="5"/>
      <c r="AD167" s="5"/>
      <c r="AE167" s="5"/>
      <c r="AF167" s="5"/>
      <c r="AG167" s="2"/>
      <c r="AH167" s="2"/>
      <c r="AI167" s="2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ht="14.25" customHeight="1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3"/>
      <c r="S168" s="3"/>
      <c r="T168" s="2"/>
      <c r="U168" s="2"/>
      <c r="V168" s="2"/>
      <c r="W168" s="4"/>
      <c r="X168" s="4"/>
      <c r="Y168" s="4"/>
      <c r="Z168" s="5"/>
      <c r="AA168" s="5"/>
      <c r="AB168" s="5"/>
      <c r="AC168" s="5"/>
      <c r="AD168" s="5"/>
      <c r="AE168" s="5"/>
      <c r="AF168" s="5"/>
      <c r="AG168" s="2"/>
      <c r="AH168" s="2"/>
      <c r="AI168" s="2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ht="14.25" customHeight="1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3"/>
      <c r="S169" s="3"/>
      <c r="T169" s="2"/>
      <c r="U169" s="2"/>
      <c r="V169" s="2"/>
      <c r="W169" s="4"/>
      <c r="X169" s="4"/>
      <c r="Y169" s="4"/>
      <c r="Z169" s="5"/>
      <c r="AA169" s="5"/>
      <c r="AB169" s="5"/>
      <c r="AC169" s="5"/>
      <c r="AD169" s="5"/>
      <c r="AE169" s="5"/>
      <c r="AF169" s="5"/>
      <c r="AG169" s="2"/>
      <c r="AH169" s="2"/>
      <c r="AI169" s="2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ht="14.25" customHeight="1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3"/>
      <c r="S170" s="3"/>
      <c r="T170" s="2"/>
      <c r="U170" s="2"/>
      <c r="V170" s="2"/>
      <c r="W170" s="4"/>
      <c r="X170" s="4"/>
      <c r="Y170" s="4"/>
      <c r="Z170" s="5"/>
      <c r="AA170" s="5"/>
      <c r="AB170" s="5"/>
      <c r="AC170" s="5"/>
      <c r="AD170" s="5"/>
      <c r="AE170" s="5"/>
      <c r="AF170" s="5"/>
      <c r="AG170" s="2"/>
      <c r="AH170" s="2"/>
      <c r="AI170" s="2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ht="14.25" customHeight="1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3"/>
      <c r="S171" s="3"/>
      <c r="T171" s="2"/>
      <c r="U171" s="2"/>
      <c r="V171" s="2"/>
      <c r="W171" s="4"/>
      <c r="X171" s="4"/>
      <c r="Y171" s="4"/>
      <c r="Z171" s="5"/>
      <c r="AA171" s="5"/>
      <c r="AB171" s="5"/>
      <c r="AC171" s="5"/>
      <c r="AD171" s="5"/>
      <c r="AE171" s="5"/>
      <c r="AF171" s="5"/>
      <c r="AG171" s="2"/>
      <c r="AH171" s="2"/>
      <c r="AI171" s="2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ht="14.25" customHeight="1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3"/>
      <c r="S172" s="3"/>
      <c r="T172" s="2"/>
      <c r="U172" s="2"/>
      <c r="V172" s="2"/>
      <c r="W172" s="4"/>
      <c r="X172" s="4"/>
      <c r="Y172" s="4"/>
      <c r="Z172" s="5"/>
      <c r="AA172" s="5"/>
      <c r="AB172" s="5"/>
      <c r="AC172" s="5"/>
      <c r="AD172" s="5"/>
      <c r="AE172" s="5"/>
      <c r="AF172" s="5"/>
      <c r="AG172" s="2"/>
      <c r="AH172" s="2"/>
      <c r="AI172" s="2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ht="14.25" customHeight="1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3"/>
      <c r="S173" s="3"/>
      <c r="T173" s="2"/>
      <c r="U173" s="2"/>
      <c r="V173" s="2"/>
      <c r="W173" s="4"/>
      <c r="X173" s="4"/>
      <c r="Y173" s="4"/>
      <c r="Z173" s="5"/>
      <c r="AA173" s="5"/>
      <c r="AB173" s="5"/>
      <c r="AC173" s="5"/>
      <c r="AD173" s="5"/>
      <c r="AE173" s="5"/>
      <c r="AF173" s="5"/>
      <c r="AG173" s="2"/>
      <c r="AH173" s="2"/>
      <c r="AI173" s="2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ht="14.25" customHeight="1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3"/>
      <c r="S174" s="3"/>
      <c r="T174" s="2"/>
      <c r="U174" s="2"/>
      <c r="V174" s="2"/>
      <c r="W174" s="4"/>
      <c r="X174" s="4"/>
      <c r="Y174" s="4"/>
      <c r="Z174" s="5"/>
      <c r="AA174" s="5"/>
      <c r="AB174" s="5"/>
      <c r="AC174" s="5"/>
      <c r="AD174" s="5"/>
      <c r="AE174" s="5"/>
      <c r="AF174" s="5"/>
      <c r="AG174" s="2"/>
      <c r="AH174" s="2"/>
      <c r="AI174" s="2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ht="14.25" customHeight="1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3"/>
      <c r="S175" s="3"/>
      <c r="T175" s="2"/>
      <c r="U175" s="2"/>
      <c r="V175" s="2"/>
      <c r="W175" s="4"/>
      <c r="X175" s="4"/>
      <c r="Y175" s="4"/>
      <c r="Z175" s="5"/>
      <c r="AA175" s="5"/>
      <c r="AB175" s="5"/>
      <c r="AC175" s="5"/>
      <c r="AD175" s="5"/>
      <c r="AE175" s="5"/>
      <c r="AF175" s="5"/>
      <c r="AG175" s="2"/>
      <c r="AH175" s="2"/>
      <c r="AI175" s="2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ht="14.25" customHeight="1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3"/>
      <c r="S176" s="3"/>
      <c r="T176" s="2"/>
      <c r="U176" s="2"/>
      <c r="V176" s="2"/>
      <c r="W176" s="4"/>
      <c r="X176" s="4"/>
      <c r="Y176" s="4"/>
      <c r="Z176" s="5"/>
      <c r="AA176" s="5"/>
      <c r="AB176" s="5"/>
      <c r="AC176" s="5"/>
      <c r="AD176" s="5"/>
      <c r="AE176" s="5"/>
      <c r="AF176" s="5"/>
      <c r="AG176" s="2"/>
      <c r="AH176" s="2"/>
      <c r="AI176" s="2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ht="14.25" customHeight="1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3"/>
      <c r="S177" s="3"/>
      <c r="T177" s="2"/>
      <c r="U177" s="2"/>
      <c r="V177" s="2"/>
      <c r="W177" s="4"/>
      <c r="X177" s="4"/>
      <c r="Y177" s="4"/>
      <c r="Z177" s="5"/>
      <c r="AA177" s="5"/>
      <c r="AB177" s="5"/>
      <c r="AC177" s="5"/>
      <c r="AD177" s="5"/>
      <c r="AE177" s="5"/>
      <c r="AF177" s="5"/>
      <c r="AG177" s="2"/>
      <c r="AH177" s="2"/>
      <c r="AI177" s="2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ht="14.25" customHeight="1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3"/>
      <c r="S178" s="3"/>
      <c r="T178" s="2"/>
      <c r="U178" s="2"/>
      <c r="V178" s="2"/>
      <c r="W178" s="4"/>
      <c r="X178" s="4"/>
      <c r="Y178" s="4"/>
      <c r="Z178" s="5"/>
      <c r="AA178" s="5"/>
      <c r="AB178" s="5"/>
      <c r="AC178" s="5"/>
      <c r="AD178" s="5"/>
      <c r="AE178" s="5"/>
      <c r="AF178" s="5"/>
      <c r="AG178" s="2"/>
      <c r="AH178" s="2"/>
      <c r="AI178" s="2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ht="14.25" customHeight="1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3"/>
      <c r="S179" s="3"/>
      <c r="T179" s="2"/>
      <c r="U179" s="2"/>
      <c r="V179" s="2"/>
      <c r="W179" s="4"/>
      <c r="X179" s="4"/>
      <c r="Y179" s="4"/>
      <c r="Z179" s="5"/>
      <c r="AA179" s="5"/>
      <c r="AB179" s="5"/>
      <c r="AC179" s="5"/>
      <c r="AD179" s="5"/>
      <c r="AE179" s="5"/>
      <c r="AF179" s="5"/>
      <c r="AG179" s="2"/>
      <c r="AH179" s="2"/>
      <c r="AI179" s="2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ht="14.25" customHeight="1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3"/>
      <c r="S180" s="3"/>
      <c r="T180" s="2"/>
      <c r="U180" s="2"/>
      <c r="V180" s="2"/>
      <c r="W180" s="4"/>
      <c r="X180" s="4"/>
      <c r="Y180" s="4"/>
      <c r="Z180" s="5"/>
      <c r="AA180" s="5"/>
      <c r="AB180" s="5"/>
      <c r="AC180" s="5"/>
      <c r="AD180" s="5"/>
      <c r="AE180" s="5"/>
      <c r="AF180" s="5"/>
      <c r="AG180" s="2"/>
      <c r="AH180" s="2"/>
      <c r="AI180" s="2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ht="14.25" customHeight="1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3"/>
      <c r="S181" s="3"/>
      <c r="T181" s="2"/>
      <c r="U181" s="2"/>
      <c r="V181" s="2"/>
      <c r="W181" s="4"/>
      <c r="X181" s="4"/>
      <c r="Y181" s="4"/>
      <c r="Z181" s="5"/>
      <c r="AA181" s="5"/>
      <c r="AB181" s="5"/>
      <c r="AC181" s="5"/>
      <c r="AD181" s="5"/>
      <c r="AE181" s="5"/>
      <c r="AF181" s="5"/>
      <c r="AG181" s="2"/>
      <c r="AH181" s="2"/>
      <c r="AI181" s="2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ht="14.25" customHeight="1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3"/>
      <c r="S182" s="3"/>
      <c r="T182" s="2"/>
      <c r="U182" s="2"/>
      <c r="V182" s="2"/>
      <c r="W182" s="4"/>
      <c r="X182" s="4"/>
      <c r="Y182" s="4"/>
      <c r="Z182" s="5"/>
      <c r="AA182" s="5"/>
      <c r="AB182" s="5"/>
      <c r="AC182" s="5"/>
      <c r="AD182" s="5"/>
      <c r="AE182" s="5"/>
      <c r="AF182" s="5"/>
      <c r="AG182" s="2"/>
      <c r="AH182" s="2"/>
      <c r="AI182" s="2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ht="14.25" customHeight="1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3"/>
      <c r="S183" s="3"/>
      <c r="T183" s="2"/>
      <c r="U183" s="2"/>
      <c r="V183" s="2"/>
      <c r="W183" s="4"/>
      <c r="X183" s="4"/>
      <c r="Y183" s="4"/>
      <c r="Z183" s="5"/>
      <c r="AA183" s="5"/>
      <c r="AB183" s="5"/>
      <c r="AC183" s="5"/>
      <c r="AD183" s="5"/>
      <c r="AE183" s="5"/>
      <c r="AF183" s="5"/>
      <c r="AG183" s="2"/>
      <c r="AH183" s="2"/>
      <c r="AI183" s="2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ht="14.25" customHeight="1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3"/>
      <c r="S184" s="3"/>
      <c r="T184" s="2"/>
      <c r="U184" s="2"/>
      <c r="V184" s="2"/>
      <c r="W184" s="4"/>
      <c r="X184" s="4"/>
      <c r="Y184" s="4"/>
      <c r="Z184" s="5"/>
      <c r="AA184" s="5"/>
      <c r="AB184" s="5"/>
      <c r="AC184" s="5"/>
      <c r="AD184" s="5"/>
      <c r="AE184" s="5"/>
      <c r="AF184" s="5"/>
      <c r="AG184" s="2"/>
      <c r="AH184" s="2"/>
      <c r="AI184" s="2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ht="14.25" customHeight="1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3"/>
      <c r="S185" s="3"/>
      <c r="T185" s="2"/>
      <c r="U185" s="2"/>
      <c r="V185" s="2"/>
      <c r="W185" s="4"/>
      <c r="X185" s="4"/>
      <c r="Y185" s="4"/>
      <c r="Z185" s="5"/>
      <c r="AA185" s="5"/>
      <c r="AB185" s="5"/>
      <c r="AC185" s="5"/>
      <c r="AD185" s="5"/>
      <c r="AE185" s="5"/>
      <c r="AF185" s="5"/>
      <c r="AG185" s="2"/>
      <c r="AH185" s="2"/>
      <c r="AI185" s="2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ht="14.25" customHeight="1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3"/>
      <c r="S186" s="3"/>
      <c r="T186" s="2"/>
      <c r="U186" s="2"/>
      <c r="V186" s="2"/>
      <c r="W186" s="4"/>
      <c r="X186" s="4"/>
      <c r="Y186" s="4"/>
      <c r="Z186" s="5"/>
      <c r="AA186" s="5"/>
      <c r="AB186" s="5"/>
      <c r="AC186" s="5"/>
      <c r="AD186" s="5"/>
      <c r="AE186" s="5"/>
      <c r="AF186" s="5"/>
      <c r="AG186" s="2"/>
      <c r="AH186" s="2"/>
      <c r="AI186" s="2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ht="14.25" customHeight="1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3"/>
      <c r="S187" s="3"/>
      <c r="T187" s="2"/>
      <c r="U187" s="2"/>
      <c r="V187" s="2"/>
      <c r="W187" s="4"/>
      <c r="X187" s="4"/>
      <c r="Y187" s="4"/>
      <c r="Z187" s="5"/>
      <c r="AA187" s="5"/>
      <c r="AB187" s="5"/>
      <c r="AC187" s="5"/>
      <c r="AD187" s="5"/>
      <c r="AE187" s="5"/>
      <c r="AF187" s="5"/>
      <c r="AG187" s="2"/>
      <c r="AH187" s="2"/>
      <c r="AI187" s="2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ht="14.25" customHeight="1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3"/>
      <c r="S188" s="3"/>
      <c r="T188" s="2"/>
      <c r="U188" s="2"/>
      <c r="V188" s="2"/>
      <c r="W188" s="4"/>
      <c r="X188" s="4"/>
      <c r="Y188" s="4"/>
      <c r="Z188" s="5"/>
      <c r="AA188" s="5"/>
      <c r="AB188" s="5"/>
      <c r="AC188" s="5"/>
      <c r="AD188" s="5"/>
      <c r="AE188" s="5"/>
      <c r="AF188" s="5"/>
      <c r="AG188" s="2"/>
      <c r="AH188" s="2"/>
      <c r="AI188" s="2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ht="14.25" customHeight="1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3"/>
      <c r="S189" s="3"/>
      <c r="T189" s="2"/>
      <c r="U189" s="2"/>
      <c r="V189" s="2"/>
      <c r="W189" s="4"/>
      <c r="X189" s="4"/>
      <c r="Y189" s="4"/>
      <c r="Z189" s="5"/>
      <c r="AA189" s="5"/>
      <c r="AB189" s="5"/>
      <c r="AC189" s="5"/>
      <c r="AD189" s="5"/>
      <c r="AE189" s="5"/>
      <c r="AF189" s="5"/>
      <c r="AG189" s="2"/>
      <c r="AH189" s="2"/>
      <c r="AI189" s="2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4.25" customHeight="1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3"/>
      <c r="S190" s="3"/>
      <c r="T190" s="2"/>
      <c r="U190" s="2"/>
      <c r="V190" s="2"/>
      <c r="W190" s="4"/>
      <c r="X190" s="4"/>
      <c r="Y190" s="4"/>
      <c r="Z190" s="5"/>
      <c r="AA190" s="5"/>
      <c r="AB190" s="5"/>
      <c r="AC190" s="5"/>
      <c r="AD190" s="5"/>
      <c r="AE190" s="5"/>
      <c r="AF190" s="5"/>
      <c r="AG190" s="2"/>
      <c r="AH190" s="2"/>
      <c r="AI190" s="2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4.25" customHeight="1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3"/>
      <c r="S191" s="3"/>
      <c r="T191" s="2"/>
      <c r="U191" s="2"/>
      <c r="V191" s="2"/>
      <c r="W191" s="4"/>
      <c r="X191" s="4"/>
      <c r="Y191" s="4"/>
      <c r="Z191" s="5"/>
      <c r="AA191" s="5"/>
      <c r="AB191" s="5"/>
      <c r="AC191" s="5"/>
      <c r="AD191" s="5"/>
      <c r="AE191" s="5"/>
      <c r="AF191" s="5"/>
      <c r="AG191" s="2"/>
      <c r="AH191" s="2"/>
      <c r="AI191" s="2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4.25" customHeight="1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3"/>
      <c r="S192" s="3"/>
      <c r="T192" s="2"/>
      <c r="U192" s="2"/>
      <c r="V192" s="2"/>
      <c r="W192" s="4"/>
      <c r="X192" s="4"/>
      <c r="Y192" s="4"/>
      <c r="Z192" s="5"/>
      <c r="AA192" s="5"/>
      <c r="AB192" s="5"/>
      <c r="AC192" s="5"/>
      <c r="AD192" s="5"/>
      <c r="AE192" s="5"/>
      <c r="AF192" s="5"/>
      <c r="AG192" s="2"/>
      <c r="AH192" s="2"/>
      <c r="AI192" s="2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4.25" customHeight="1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3"/>
      <c r="S193" s="3"/>
      <c r="T193" s="2"/>
      <c r="U193" s="2"/>
      <c r="V193" s="2"/>
      <c r="W193" s="4"/>
      <c r="X193" s="4"/>
      <c r="Y193" s="4"/>
      <c r="Z193" s="5"/>
      <c r="AA193" s="5"/>
      <c r="AB193" s="5"/>
      <c r="AC193" s="5"/>
      <c r="AD193" s="5"/>
      <c r="AE193" s="5"/>
      <c r="AF193" s="5"/>
      <c r="AG193" s="2"/>
      <c r="AH193" s="2"/>
      <c r="AI193" s="2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4.25" customHeight="1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3"/>
      <c r="S194" s="3"/>
      <c r="T194" s="2"/>
      <c r="U194" s="2"/>
      <c r="V194" s="2"/>
      <c r="W194" s="4"/>
      <c r="X194" s="4"/>
      <c r="Y194" s="4"/>
      <c r="Z194" s="5"/>
      <c r="AA194" s="5"/>
      <c r="AB194" s="5"/>
      <c r="AC194" s="5"/>
      <c r="AD194" s="5"/>
      <c r="AE194" s="5"/>
      <c r="AF194" s="5"/>
      <c r="AG194" s="2"/>
      <c r="AH194" s="2"/>
      <c r="AI194" s="2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4.25" customHeight="1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3"/>
      <c r="S195" s="3"/>
      <c r="T195" s="2"/>
      <c r="U195" s="2"/>
      <c r="V195" s="2"/>
      <c r="W195" s="4"/>
      <c r="X195" s="4"/>
      <c r="Y195" s="4"/>
      <c r="Z195" s="5"/>
      <c r="AA195" s="5"/>
      <c r="AB195" s="5"/>
      <c r="AC195" s="5"/>
      <c r="AD195" s="5"/>
      <c r="AE195" s="5"/>
      <c r="AF195" s="5"/>
      <c r="AG195" s="2"/>
      <c r="AH195" s="2"/>
      <c r="AI195" s="2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4.25" customHeight="1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3"/>
      <c r="S196" s="3"/>
      <c r="T196" s="2"/>
      <c r="U196" s="2"/>
      <c r="V196" s="2"/>
      <c r="W196" s="4"/>
      <c r="X196" s="4"/>
      <c r="Y196" s="4"/>
      <c r="Z196" s="5"/>
      <c r="AA196" s="5"/>
      <c r="AB196" s="5"/>
      <c r="AC196" s="5"/>
      <c r="AD196" s="5"/>
      <c r="AE196" s="5"/>
      <c r="AF196" s="5"/>
      <c r="AG196" s="2"/>
      <c r="AH196" s="2"/>
      <c r="AI196" s="2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4.25" customHeight="1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3"/>
      <c r="S197" s="3"/>
      <c r="T197" s="2"/>
      <c r="U197" s="2"/>
      <c r="V197" s="2"/>
      <c r="W197" s="4"/>
      <c r="X197" s="4"/>
      <c r="Y197" s="4"/>
      <c r="Z197" s="5"/>
      <c r="AA197" s="5"/>
      <c r="AB197" s="5"/>
      <c r="AC197" s="5"/>
      <c r="AD197" s="5"/>
      <c r="AE197" s="5"/>
      <c r="AF197" s="5"/>
      <c r="AG197" s="2"/>
      <c r="AH197" s="2"/>
      <c r="AI197" s="2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4.25" customHeight="1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3"/>
      <c r="S198" s="3"/>
      <c r="T198" s="2"/>
      <c r="U198" s="2"/>
      <c r="V198" s="2"/>
      <c r="W198" s="4"/>
      <c r="X198" s="4"/>
      <c r="Y198" s="4"/>
      <c r="Z198" s="5"/>
      <c r="AA198" s="5"/>
      <c r="AB198" s="5"/>
      <c r="AC198" s="5"/>
      <c r="AD198" s="5"/>
      <c r="AE198" s="5"/>
      <c r="AF198" s="5"/>
      <c r="AG198" s="2"/>
      <c r="AH198" s="2"/>
      <c r="AI198" s="2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ht="14.25" customHeight="1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3"/>
      <c r="S199" s="3"/>
      <c r="T199" s="2"/>
      <c r="U199" s="2"/>
      <c r="V199" s="2"/>
      <c r="W199" s="4"/>
      <c r="X199" s="4"/>
      <c r="Y199" s="4"/>
      <c r="Z199" s="5"/>
      <c r="AA199" s="5"/>
      <c r="AB199" s="5"/>
      <c r="AC199" s="5"/>
      <c r="AD199" s="5"/>
      <c r="AE199" s="5"/>
      <c r="AF199" s="5"/>
      <c r="AG199" s="2"/>
      <c r="AH199" s="2"/>
      <c r="AI199" s="2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ht="14.25" customHeight="1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3"/>
      <c r="S200" s="3"/>
      <c r="T200" s="2"/>
      <c r="U200" s="2"/>
      <c r="V200" s="2"/>
      <c r="W200" s="4"/>
      <c r="X200" s="4"/>
      <c r="Y200" s="4"/>
      <c r="Z200" s="5"/>
      <c r="AA200" s="5"/>
      <c r="AB200" s="5"/>
      <c r="AC200" s="5"/>
      <c r="AD200" s="5"/>
      <c r="AE200" s="5"/>
      <c r="AF200" s="5"/>
      <c r="AG200" s="2"/>
      <c r="AH200" s="2"/>
      <c r="AI200" s="2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ht="14.25" customHeight="1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3"/>
      <c r="S201" s="3"/>
      <c r="T201" s="2"/>
      <c r="U201" s="2"/>
      <c r="V201" s="2"/>
      <c r="W201" s="4"/>
      <c r="X201" s="4"/>
      <c r="Y201" s="4"/>
      <c r="Z201" s="5"/>
      <c r="AA201" s="5"/>
      <c r="AB201" s="5"/>
      <c r="AC201" s="5"/>
      <c r="AD201" s="5"/>
      <c r="AE201" s="5"/>
      <c r="AF201" s="5"/>
      <c r="AG201" s="2"/>
      <c r="AH201" s="2"/>
      <c r="AI201" s="2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ht="14.25" customHeight="1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3"/>
      <c r="S202" s="3"/>
      <c r="T202" s="2"/>
      <c r="U202" s="2"/>
      <c r="V202" s="2"/>
      <c r="W202" s="4"/>
      <c r="X202" s="4"/>
      <c r="Y202" s="4"/>
      <c r="Z202" s="5"/>
      <c r="AA202" s="5"/>
      <c r="AB202" s="5"/>
      <c r="AC202" s="5"/>
      <c r="AD202" s="5"/>
      <c r="AE202" s="5"/>
      <c r="AF202" s="5"/>
      <c r="AG202" s="2"/>
      <c r="AH202" s="2"/>
      <c r="AI202" s="2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ht="14.25" customHeight="1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3"/>
      <c r="S203" s="3"/>
      <c r="T203" s="2"/>
      <c r="U203" s="2"/>
      <c r="V203" s="2"/>
      <c r="W203" s="4"/>
      <c r="X203" s="4"/>
      <c r="Y203" s="4"/>
      <c r="Z203" s="5"/>
      <c r="AA203" s="5"/>
      <c r="AB203" s="5"/>
      <c r="AC203" s="5"/>
      <c r="AD203" s="5"/>
      <c r="AE203" s="5"/>
      <c r="AF203" s="5"/>
      <c r="AG203" s="2"/>
      <c r="AH203" s="2"/>
      <c r="AI203" s="2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14.25" customHeight="1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3"/>
      <c r="S204" s="3"/>
      <c r="T204" s="2"/>
      <c r="U204" s="2"/>
      <c r="V204" s="2"/>
      <c r="W204" s="4"/>
      <c r="X204" s="4"/>
      <c r="Y204" s="4"/>
      <c r="Z204" s="5"/>
      <c r="AA204" s="5"/>
      <c r="AB204" s="5"/>
      <c r="AC204" s="5"/>
      <c r="AD204" s="5"/>
      <c r="AE204" s="5"/>
      <c r="AF204" s="5"/>
      <c r="AG204" s="2"/>
      <c r="AH204" s="2"/>
      <c r="AI204" s="2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ht="14.25" customHeight="1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3"/>
      <c r="S205" s="3"/>
      <c r="T205" s="2"/>
      <c r="U205" s="2"/>
      <c r="V205" s="2"/>
      <c r="W205" s="4"/>
      <c r="X205" s="4"/>
      <c r="Y205" s="4"/>
      <c r="Z205" s="5"/>
      <c r="AA205" s="5"/>
      <c r="AB205" s="5"/>
      <c r="AC205" s="5"/>
      <c r="AD205" s="5"/>
      <c r="AE205" s="5"/>
      <c r="AF205" s="5"/>
      <c r="AG205" s="2"/>
      <c r="AH205" s="2"/>
      <c r="AI205" s="2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ht="14.25" customHeight="1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3"/>
      <c r="S206" s="3"/>
      <c r="T206" s="2"/>
      <c r="U206" s="2"/>
      <c r="V206" s="2"/>
      <c r="W206" s="4"/>
      <c r="X206" s="4"/>
      <c r="Y206" s="4"/>
      <c r="Z206" s="5"/>
      <c r="AA206" s="5"/>
      <c r="AB206" s="5"/>
      <c r="AC206" s="5"/>
      <c r="AD206" s="5"/>
      <c r="AE206" s="5"/>
      <c r="AF206" s="5"/>
      <c r="AG206" s="2"/>
      <c r="AH206" s="2"/>
      <c r="AI206" s="2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ht="14.25" customHeight="1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3"/>
      <c r="S207" s="3"/>
      <c r="T207" s="2"/>
      <c r="U207" s="2"/>
      <c r="V207" s="2"/>
      <c r="W207" s="4"/>
      <c r="X207" s="4"/>
      <c r="Y207" s="4"/>
      <c r="Z207" s="5"/>
      <c r="AA207" s="5"/>
      <c r="AB207" s="5"/>
      <c r="AC207" s="5"/>
      <c r="AD207" s="5"/>
      <c r="AE207" s="5"/>
      <c r="AF207" s="5"/>
      <c r="AG207" s="2"/>
      <c r="AH207" s="2"/>
      <c r="AI207" s="2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ht="14.25" customHeight="1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3"/>
      <c r="S208" s="3"/>
      <c r="T208" s="2"/>
      <c r="U208" s="2"/>
      <c r="V208" s="2"/>
      <c r="W208" s="4"/>
      <c r="X208" s="4"/>
      <c r="Y208" s="4"/>
      <c r="Z208" s="5"/>
      <c r="AA208" s="5"/>
      <c r="AB208" s="5"/>
      <c r="AC208" s="5"/>
      <c r="AD208" s="5"/>
      <c r="AE208" s="5"/>
      <c r="AF208" s="5"/>
      <c r="AG208" s="2"/>
      <c r="AH208" s="2"/>
      <c r="AI208" s="2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ht="14.25" customHeight="1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3"/>
      <c r="S209" s="3"/>
      <c r="T209" s="2"/>
      <c r="U209" s="2"/>
      <c r="V209" s="2"/>
      <c r="W209" s="4"/>
      <c r="X209" s="4"/>
      <c r="Y209" s="4"/>
      <c r="Z209" s="5"/>
      <c r="AA209" s="5"/>
      <c r="AB209" s="5"/>
      <c r="AC209" s="5"/>
      <c r="AD209" s="5"/>
      <c r="AE209" s="5"/>
      <c r="AF209" s="5"/>
      <c r="AG209" s="2"/>
      <c r="AH209" s="2"/>
      <c r="AI209" s="2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ht="14.25" customHeight="1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3"/>
      <c r="S210" s="3"/>
      <c r="T210" s="2"/>
      <c r="U210" s="2"/>
      <c r="V210" s="2"/>
      <c r="W210" s="4"/>
      <c r="X210" s="4"/>
      <c r="Y210" s="4"/>
      <c r="Z210" s="5"/>
      <c r="AA210" s="5"/>
      <c r="AB210" s="5"/>
      <c r="AC210" s="5"/>
      <c r="AD210" s="5"/>
      <c r="AE210" s="5"/>
      <c r="AF210" s="5"/>
      <c r="AG210" s="2"/>
      <c r="AH210" s="2"/>
      <c r="AI210" s="2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ht="14.25" customHeight="1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3"/>
      <c r="S211" s="3"/>
      <c r="T211" s="2"/>
      <c r="U211" s="2"/>
      <c r="V211" s="2"/>
      <c r="W211" s="4"/>
      <c r="X211" s="4"/>
      <c r="Y211" s="4"/>
      <c r="Z211" s="5"/>
      <c r="AA211" s="5"/>
      <c r="AB211" s="5"/>
      <c r="AC211" s="5"/>
      <c r="AD211" s="5"/>
      <c r="AE211" s="5"/>
      <c r="AF211" s="5"/>
      <c r="AG211" s="2"/>
      <c r="AH211" s="2"/>
      <c r="AI211" s="2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ht="14.25" customHeight="1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3"/>
      <c r="S212" s="3"/>
      <c r="T212" s="2"/>
      <c r="U212" s="2"/>
      <c r="V212" s="2"/>
      <c r="W212" s="4"/>
      <c r="X212" s="4"/>
      <c r="Y212" s="4"/>
      <c r="Z212" s="5"/>
      <c r="AA212" s="5"/>
      <c r="AB212" s="5"/>
      <c r="AC212" s="5"/>
      <c r="AD212" s="5"/>
      <c r="AE212" s="5"/>
      <c r="AF212" s="5"/>
      <c r="AG212" s="2"/>
      <c r="AH212" s="2"/>
      <c r="AI212" s="2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ht="14.25" customHeight="1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3"/>
      <c r="S213" s="3"/>
      <c r="T213" s="2"/>
      <c r="U213" s="2"/>
      <c r="V213" s="2"/>
      <c r="W213" s="4"/>
      <c r="X213" s="4"/>
      <c r="Y213" s="4"/>
      <c r="Z213" s="5"/>
      <c r="AA213" s="5"/>
      <c r="AB213" s="5"/>
      <c r="AC213" s="5"/>
      <c r="AD213" s="5"/>
      <c r="AE213" s="5"/>
      <c r="AF213" s="5"/>
      <c r="AG213" s="2"/>
      <c r="AH213" s="2"/>
      <c r="AI213" s="2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4.25" customHeight="1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3"/>
      <c r="S214" s="3"/>
      <c r="T214" s="2"/>
      <c r="U214" s="2"/>
      <c r="V214" s="2"/>
      <c r="W214" s="4"/>
      <c r="X214" s="4"/>
      <c r="Y214" s="4"/>
      <c r="Z214" s="5"/>
      <c r="AA214" s="5"/>
      <c r="AB214" s="5"/>
      <c r="AC214" s="5"/>
      <c r="AD214" s="5"/>
      <c r="AE214" s="5"/>
      <c r="AF214" s="5"/>
      <c r="AG214" s="2"/>
      <c r="AH214" s="2"/>
      <c r="AI214" s="2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4.25" customHeight="1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3"/>
      <c r="S215" s="3"/>
      <c r="T215" s="2"/>
      <c r="U215" s="2"/>
      <c r="V215" s="2"/>
      <c r="W215" s="4"/>
      <c r="X215" s="4"/>
      <c r="Y215" s="4"/>
      <c r="Z215" s="5"/>
      <c r="AA215" s="5"/>
      <c r="AB215" s="5"/>
      <c r="AC215" s="5"/>
      <c r="AD215" s="5"/>
      <c r="AE215" s="5"/>
      <c r="AF215" s="5"/>
      <c r="AG215" s="2"/>
      <c r="AH215" s="2"/>
      <c r="AI215" s="2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4.25" customHeight="1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3"/>
      <c r="S216" s="3"/>
      <c r="T216" s="2"/>
      <c r="U216" s="2"/>
      <c r="V216" s="2"/>
      <c r="W216" s="4"/>
      <c r="X216" s="4"/>
      <c r="Y216" s="4"/>
      <c r="Z216" s="5"/>
      <c r="AA216" s="5"/>
      <c r="AB216" s="5"/>
      <c r="AC216" s="5"/>
      <c r="AD216" s="5"/>
      <c r="AE216" s="5"/>
      <c r="AF216" s="5"/>
      <c r="AG216" s="2"/>
      <c r="AH216" s="2"/>
      <c r="AI216" s="2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4.25" customHeight="1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3"/>
      <c r="S217" s="3"/>
      <c r="T217" s="2"/>
      <c r="U217" s="2"/>
      <c r="V217" s="2"/>
      <c r="W217" s="4"/>
      <c r="X217" s="4"/>
      <c r="Y217" s="4"/>
      <c r="Z217" s="5"/>
      <c r="AA217" s="5"/>
      <c r="AB217" s="5"/>
      <c r="AC217" s="5"/>
      <c r="AD217" s="5"/>
      <c r="AE217" s="5"/>
      <c r="AF217" s="5"/>
      <c r="AG217" s="2"/>
      <c r="AH217" s="2"/>
      <c r="AI217" s="2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4.25" customHeight="1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3"/>
      <c r="S218" s="3"/>
      <c r="T218" s="2"/>
      <c r="U218" s="2"/>
      <c r="V218" s="2"/>
      <c r="W218" s="4"/>
      <c r="X218" s="4"/>
      <c r="Y218" s="4"/>
      <c r="Z218" s="5"/>
      <c r="AA218" s="5"/>
      <c r="AB218" s="5"/>
      <c r="AC218" s="5"/>
      <c r="AD218" s="5"/>
      <c r="AE218" s="5"/>
      <c r="AF218" s="5"/>
      <c r="AG218" s="2"/>
      <c r="AH218" s="2"/>
      <c r="AI218" s="2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4.25" customHeight="1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3"/>
      <c r="S219" s="3"/>
      <c r="T219" s="2"/>
      <c r="U219" s="2"/>
      <c r="V219" s="2"/>
      <c r="W219" s="4"/>
      <c r="X219" s="4"/>
      <c r="Y219" s="4"/>
      <c r="Z219" s="5"/>
      <c r="AA219" s="5"/>
      <c r="AB219" s="5"/>
      <c r="AC219" s="5"/>
      <c r="AD219" s="5"/>
      <c r="AE219" s="5"/>
      <c r="AF219" s="5"/>
      <c r="AG219" s="2"/>
      <c r="AH219" s="2"/>
      <c r="AI219" s="2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ht="14.25" customHeight="1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3"/>
      <c r="S220" s="3"/>
      <c r="T220" s="2"/>
      <c r="U220" s="2"/>
      <c r="V220" s="2"/>
      <c r="W220" s="4"/>
      <c r="X220" s="4"/>
      <c r="Y220" s="4"/>
      <c r="Z220" s="5"/>
      <c r="AA220" s="5"/>
      <c r="AB220" s="5"/>
      <c r="AC220" s="5"/>
      <c r="AD220" s="5"/>
      <c r="AE220" s="5"/>
      <c r="AF220" s="5"/>
      <c r="AG220" s="2"/>
      <c r="AH220" s="2"/>
      <c r="AI220" s="2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ht="14.25" customHeight="1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3"/>
      <c r="S221" s="3"/>
      <c r="T221" s="2"/>
      <c r="U221" s="2"/>
      <c r="V221" s="2"/>
      <c r="W221" s="4"/>
      <c r="X221" s="4"/>
      <c r="Y221" s="4"/>
      <c r="Z221" s="5"/>
      <c r="AA221" s="5"/>
      <c r="AB221" s="5"/>
      <c r="AC221" s="5"/>
      <c r="AD221" s="5"/>
      <c r="AE221" s="5"/>
      <c r="AF221" s="5"/>
      <c r="AG221" s="2"/>
      <c r="AH221" s="2"/>
      <c r="AI221" s="2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ht="14.25" customHeight="1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3"/>
      <c r="S222" s="3"/>
      <c r="T222" s="2"/>
      <c r="U222" s="2"/>
      <c r="V222" s="2"/>
      <c r="W222" s="4"/>
      <c r="X222" s="4"/>
      <c r="Y222" s="4"/>
      <c r="Z222" s="5"/>
      <c r="AA222" s="5"/>
      <c r="AB222" s="5"/>
      <c r="AC222" s="5"/>
      <c r="AD222" s="5"/>
      <c r="AE222" s="5"/>
      <c r="AF222" s="5"/>
      <c r="AG222" s="2"/>
      <c r="AH222" s="2"/>
      <c r="AI222" s="2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ht="14.25" customHeight="1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3"/>
      <c r="S223" s="3"/>
      <c r="T223" s="2"/>
      <c r="U223" s="2"/>
      <c r="V223" s="2"/>
      <c r="W223" s="4"/>
      <c r="X223" s="4"/>
      <c r="Y223" s="4"/>
      <c r="Z223" s="5"/>
      <c r="AA223" s="5"/>
      <c r="AB223" s="5"/>
      <c r="AC223" s="5"/>
      <c r="AD223" s="5"/>
      <c r="AE223" s="5"/>
      <c r="AF223" s="5"/>
      <c r="AG223" s="2"/>
      <c r="AH223" s="2"/>
      <c r="AI223" s="2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ht="14.25" customHeight="1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3"/>
      <c r="S224" s="3"/>
      <c r="T224" s="2"/>
      <c r="U224" s="2"/>
      <c r="V224" s="2"/>
      <c r="W224" s="4"/>
      <c r="X224" s="4"/>
      <c r="Y224" s="4"/>
      <c r="Z224" s="5"/>
      <c r="AA224" s="5"/>
      <c r="AB224" s="5"/>
      <c r="AC224" s="5"/>
      <c r="AD224" s="5"/>
      <c r="AE224" s="5"/>
      <c r="AF224" s="5"/>
      <c r="AG224" s="2"/>
      <c r="AH224" s="2"/>
      <c r="AI224" s="2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ht="14.25" customHeight="1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3"/>
      <c r="S225" s="3"/>
      <c r="T225" s="2"/>
      <c r="U225" s="2"/>
      <c r="V225" s="2"/>
      <c r="W225" s="4"/>
      <c r="X225" s="4"/>
      <c r="Y225" s="4"/>
      <c r="Z225" s="5"/>
      <c r="AA225" s="5"/>
      <c r="AB225" s="5"/>
      <c r="AC225" s="5"/>
      <c r="AD225" s="5"/>
      <c r="AE225" s="5"/>
      <c r="AF225" s="5"/>
      <c r="AG225" s="2"/>
      <c r="AH225" s="2"/>
      <c r="AI225" s="2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ht="14.25" customHeight="1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3"/>
      <c r="S226" s="3"/>
      <c r="T226" s="2"/>
      <c r="U226" s="2"/>
      <c r="V226" s="2"/>
      <c r="W226" s="4"/>
      <c r="X226" s="4"/>
      <c r="Y226" s="4"/>
      <c r="Z226" s="5"/>
      <c r="AA226" s="5"/>
      <c r="AB226" s="5"/>
      <c r="AC226" s="5"/>
      <c r="AD226" s="5"/>
      <c r="AE226" s="5"/>
      <c r="AF226" s="5"/>
      <c r="AG226" s="2"/>
      <c r="AH226" s="2"/>
      <c r="AI226" s="2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ht="14.25" customHeight="1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3"/>
      <c r="S227" s="3"/>
      <c r="T227" s="2"/>
      <c r="U227" s="2"/>
      <c r="V227" s="2"/>
      <c r="W227" s="4"/>
      <c r="X227" s="4"/>
      <c r="Y227" s="4"/>
      <c r="Z227" s="5"/>
      <c r="AA227" s="5"/>
      <c r="AB227" s="5"/>
      <c r="AC227" s="5"/>
      <c r="AD227" s="5"/>
      <c r="AE227" s="5"/>
      <c r="AF227" s="5"/>
      <c r="AG227" s="2"/>
      <c r="AH227" s="2"/>
      <c r="AI227" s="2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ht="14.25" customHeight="1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3"/>
      <c r="S228" s="3"/>
      <c r="T228" s="2"/>
      <c r="U228" s="2"/>
      <c r="V228" s="2"/>
      <c r="W228" s="4"/>
      <c r="X228" s="4"/>
      <c r="Y228" s="4"/>
      <c r="Z228" s="5"/>
      <c r="AA228" s="5"/>
      <c r="AB228" s="5"/>
      <c r="AC228" s="5"/>
      <c r="AD228" s="5"/>
      <c r="AE228" s="5"/>
      <c r="AF228" s="5"/>
      <c r="AG228" s="2"/>
      <c r="AH228" s="2"/>
      <c r="AI228" s="2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ht="14.25" customHeight="1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3"/>
      <c r="S229" s="3"/>
      <c r="T229" s="2"/>
      <c r="U229" s="2"/>
      <c r="V229" s="2"/>
      <c r="W229" s="4"/>
      <c r="X229" s="4"/>
      <c r="Y229" s="4"/>
      <c r="Z229" s="5"/>
      <c r="AA229" s="5"/>
      <c r="AB229" s="5"/>
      <c r="AC229" s="5"/>
      <c r="AD229" s="5"/>
      <c r="AE229" s="5"/>
      <c r="AF229" s="5"/>
      <c r="AG229" s="2"/>
      <c r="AH229" s="2"/>
      <c r="AI229" s="2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ht="14.25" customHeight="1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3"/>
      <c r="S230" s="3"/>
      <c r="T230" s="2"/>
      <c r="U230" s="2"/>
      <c r="V230" s="2"/>
      <c r="W230" s="4"/>
      <c r="X230" s="4"/>
      <c r="Y230" s="4"/>
      <c r="Z230" s="5"/>
      <c r="AA230" s="5"/>
      <c r="AB230" s="5"/>
      <c r="AC230" s="5"/>
      <c r="AD230" s="5"/>
      <c r="AE230" s="5"/>
      <c r="AF230" s="5"/>
      <c r="AG230" s="2"/>
      <c r="AH230" s="2"/>
      <c r="AI230" s="2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ht="14.25" customHeight="1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3"/>
      <c r="S231" s="3"/>
      <c r="T231" s="2"/>
      <c r="U231" s="2"/>
      <c r="V231" s="2"/>
      <c r="W231" s="4"/>
      <c r="X231" s="4"/>
      <c r="Y231" s="4"/>
      <c r="Z231" s="5"/>
      <c r="AA231" s="5"/>
      <c r="AB231" s="5"/>
      <c r="AC231" s="5"/>
      <c r="AD231" s="5"/>
      <c r="AE231" s="5"/>
      <c r="AF231" s="5"/>
      <c r="AG231" s="2"/>
      <c r="AH231" s="2"/>
      <c r="AI231" s="2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ht="14.25" customHeight="1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3"/>
      <c r="S232" s="3"/>
      <c r="T232" s="2"/>
      <c r="U232" s="2"/>
      <c r="V232" s="2"/>
      <c r="W232" s="4"/>
      <c r="X232" s="4"/>
      <c r="Y232" s="4"/>
      <c r="Z232" s="5"/>
      <c r="AA232" s="5"/>
      <c r="AB232" s="5"/>
      <c r="AC232" s="5"/>
      <c r="AD232" s="5"/>
      <c r="AE232" s="5"/>
      <c r="AF232" s="5"/>
      <c r="AG232" s="2"/>
      <c r="AH232" s="2"/>
      <c r="AI232" s="2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ht="14.25" customHeight="1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3"/>
      <c r="S233" s="3"/>
      <c r="T233" s="2"/>
      <c r="U233" s="2"/>
      <c r="V233" s="2"/>
      <c r="W233" s="4"/>
      <c r="X233" s="4"/>
      <c r="Y233" s="4"/>
      <c r="Z233" s="5"/>
      <c r="AA233" s="5"/>
      <c r="AB233" s="5"/>
      <c r="AC233" s="5"/>
      <c r="AD233" s="5"/>
      <c r="AE233" s="5"/>
      <c r="AF233" s="5"/>
      <c r="AG233" s="2"/>
      <c r="AH233" s="2"/>
      <c r="AI233" s="2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ht="14.25" customHeight="1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3"/>
      <c r="S234" s="3"/>
      <c r="T234" s="2"/>
      <c r="U234" s="2"/>
      <c r="V234" s="2"/>
      <c r="W234" s="4"/>
      <c r="X234" s="4"/>
      <c r="Y234" s="4"/>
      <c r="Z234" s="5"/>
      <c r="AA234" s="5"/>
      <c r="AB234" s="5"/>
      <c r="AC234" s="5"/>
      <c r="AD234" s="5"/>
      <c r="AE234" s="5"/>
      <c r="AF234" s="5"/>
      <c r="AG234" s="2"/>
      <c r="AH234" s="2"/>
      <c r="AI234" s="2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ht="14.25" customHeight="1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3"/>
      <c r="S235" s="3"/>
      <c r="T235" s="2"/>
      <c r="U235" s="2"/>
      <c r="V235" s="2"/>
      <c r="W235" s="4"/>
      <c r="X235" s="4"/>
      <c r="Y235" s="4"/>
      <c r="Z235" s="5"/>
      <c r="AA235" s="5"/>
      <c r="AB235" s="5"/>
      <c r="AC235" s="5"/>
      <c r="AD235" s="5"/>
      <c r="AE235" s="5"/>
      <c r="AF235" s="5"/>
      <c r="AG235" s="2"/>
      <c r="AH235" s="2"/>
      <c r="AI235" s="2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ht="14.25" customHeight="1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3"/>
      <c r="S236" s="3"/>
      <c r="T236" s="2"/>
      <c r="U236" s="2"/>
      <c r="V236" s="2"/>
      <c r="W236" s="4"/>
      <c r="X236" s="4"/>
      <c r="Y236" s="4"/>
      <c r="Z236" s="5"/>
      <c r="AA236" s="5"/>
      <c r="AB236" s="5"/>
      <c r="AC236" s="5"/>
      <c r="AD236" s="5"/>
      <c r="AE236" s="5"/>
      <c r="AF236" s="5"/>
      <c r="AG236" s="2"/>
      <c r="AH236" s="2"/>
      <c r="AI236" s="2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ht="14.25" customHeight="1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3"/>
      <c r="S237" s="3"/>
      <c r="T237" s="2"/>
      <c r="U237" s="2"/>
      <c r="V237" s="2"/>
      <c r="W237" s="4"/>
      <c r="X237" s="4"/>
      <c r="Y237" s="4"/>
      <c r="Z237" s="5"/>
      <c r="AA237" s="5"/>
      <c r="AB237" s="5"/>
      <c r="AC237" s="5"/>
      <c r="AD237" s="5"/>
      <c r="AE237" s="5"/>
      <c r="AF237" s="5"/>
      <c r="AG237" s="2"/>
      <c r="AH237" s="2"/>
      <c r="AI237" s="2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ht="14.25" customHeight="1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3"/>
      <c r="S238" s="3"/>
      <c r="T238" s="2"/>
      <c r="U238" s="2"/>
      <c r="V238" s="2"/>
      <c r="W238" s="4"/>
      <c r="X238" s="4"/>
      <c r="Y238" s="4"/>
      <c r="Z238" s="5"/>
      <c r="AA238" s="5"/>
      <c r="AB238" s="5"/>
      <c r="AC238" s="5"/>
      <c r="AD238" s="5"/>
      <c r="AE238" s="5"/>
      <c r="AF238" s="5"/>
      <c r="AG238" s="2"/>
      <c r="AH238" s="2"/>
      <c r="AI238" s="2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ht="14.25" customHeight="1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3"/>
      <c r="S239" s="3"/>
      <c r="T239" s="2"/>
      <c r="U239" s="2"/>
      <c r="V239" s="2"/>
      <c r="W239" s="4"/>
      <c r="X239" s="4"/>
      <c r="Y239" s="4"/>
      <c r="Z239" s="5"/>
      <c r="AA239" s="5"/>
      <c r="AB239" s="5"/>
      <c r="AC239" s="5"/>
      <c r="AD239" s="5"/>
      <c r="AE239" s="5"/>
      <c r="AF239" s="5"/>
      <c r="AG239" s="2"/>
      <c r="AH239" s="2"/>
      <c r="AI239" s="2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ht="14.25" customHeight="1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3"/>
      <c r="S240" s="3"/>
      <c r="T240" s="2"/>
      <c r="U240" s="2"/>
      <c r="V240" s="2"/>
      <c r="W240" s="4"/>
      <c r="X240" s="4"/>
      <c r="Y240" s="4"/>
      <c r="Z240" s="5"/>
      <c r="AA240" s="5"/>
      <c r="AB240" s="5"/>
      <c r="AC240" s="5"/>
      <c r="AD240" s="5"/>
      <c r="AE240" s="5"/>
      <c r="AF240" s="5"/>
      <c r="AG240" s="2"/>
      <c r="AH240" s="2"/>
      <c r="AI240" s="2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ht="14.25" customHeight="1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3"/>
      <c r="S241" s="3"/>
      <c r="T241" s="2"/>
      <c r="U241" s="2"/>
      <c r="V241" s="2"/>
      <c r="W241" s="4"/>
      <c r="X241" s="4"/>
      <c r="Y241" s="4"/>
      <c r="Z241" s="5"/>
      <c r="AA241" s="5"/>
      <c r="AB241" s="5"/>
      <c r="AC241" s="5"/>
      <c r="AD241" s="5"/>
      <c r="AE241" s="5"/>
      <c r="AF241" s="5"/>
      <c r="AG241" s="2"/>
      <c r="AH241" s="2"/>
      <c r="AI241" s="2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ht="14.25" customHeight="1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3"/>
      <c r="S242" s="3"/>
      <c r="T242" s="2"/>
      <c r="U242" s="2"/>
      <c r="V242" s="2"/>
      <c r="W242" s="4"/>
      <c r="X242" s="4"/>
      <c r="Y242" s="4"/>
      <c r="Z242" s="5"/>
      <c r="AA242" s="5"/>
      <c r="AB242" s="5"/>
      <c r="AC242" s="5"/>
      <c r="AD242" s="5"/>
      <c r="AE242" s="5"/>
      <c r="AF242" s="5"/>
      <c r="AG242" s="2"/>
      <c r="AH242" s="2"/>
      <c r="AI242" s="2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ht="14.25" customHeight="1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3"/>
      <c r="S243" s="3"/>
      <c r="T243" s="2"/>
      <c r="U243" s="2"/>
      <c r="V243" s="2"/>
      <c r="W243" s="4"/>
      <c r="X243" s="4"/>
      <c r="Y243" s="4"/>
      <c r="Z243" s="5"/>
      <c r="AA243" s="5"/>
      <c r="AB243" s="5"/>
      <c r="AC243" s="5"/>
      <c r="AD243" s="5"/>
      <c r="AE243" s="5"/>
      <c r="AF243" s="5"/>
      <c r="AG243" s="2"/>
      <c r="AH243" s="2"/>
      <c r="AI243" s="2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ht="14.25" customHeight="1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3"/>
      <c r="S244" s="3"/>
      <c r="T244" s="2"/>
      <c r="U244" s="2"/>
      <c r="V244" s="2"/>
      <c r="W244" s="4"/>
      <c r="X244" s="4"/>
      <c r="Y244" s="4"/>
      <c r="Z244" s="5"/>
      <c r="AA244" s="5"/>
      <c r="AB244" s="5"/>
      <c r="AC244" s="5"/>
      <c r="AD244" s="5"/>
      <c r="AE244" s="5"/>
      <c r="AF244" s="5"/>
      <c r="AG244" s="2"/>
      <c r="AH244" s="2"/>
      <c r="AI244" s="2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ht="14.25" customHeight="1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3"/>
      <c r="S245" s="3"/>
      <c r="T245" s="2"/>
      <c r="U245" s="2"/>
      <c r="V245" s="2"/>
      <c r="W245" s="4"/>
      <c r="X245" s="4"/>
      <c r="Y245" s="4"/>
      <c r="Z245" s="5"/>
      <c r="AA245" s="5"/>
      <c r="AB245" s="5"/>
      <c r="AC245" s="5"/>
      <c r="AD245" s="5"/>
      <c r="AE245" s="5"/>
      <c r="AF245" s="5"/>
      <c r="AG245" s="2"/>
      <c r="AH245" s="2"/>
      <c r="AI245" s="2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ht="14.25" customHeight="1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3"/>
      <c r="S246" s="3"/>
      <c r="T246" s="2"/>
      <c r="U246" s="2"/>
      <c r="V246" s="2"/>
      <c r="W246" s="4"/>
      <c r="X246" s="4"/>
      <c r="Y246" s="4"/>
      <c r="Z246" s="5"/>
      <c r="AA246" s="5"/>
      <c r="AB246" s="5"/>
      <c r="AC246" s="5"/>
      <c r="AD246" s="5"/>
      <c r="AE246" s="5"/>
      <c r="AF246" s="5"/>
      <c r="AG246" s="2"/>
      <c r="AH246" s="2"/>
      <c r="AI246" s="2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ht="14.25" customHeight="1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3"/>
      <c r="S247" s="3"/>
      <c r="T247" s="2"/>
      <c r="U247" s="2"/>
      <c r="V247" s="2"/>
      <c r="W247" s="4"/>
      <c r="X247" s="4"/>
      <c r="Y247" s="4"/>
      <c r="Z247" s="5"/>
      <c r="AA247" s="5"/>
      <c r="AB247" s="5"/>
      <c r="AC247" s="5"/>
      <c r="AD247" s="5"/>
      <c r="AE247" s="5"/>
      <c r="AF247" s="5"/>
      <c r="AG247" s="2"/>
      <c r="AH247" s="2"/>
      <c r="AI247" s="2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ht="14.25" customHeight="1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3"/>
      <c r="S248" s="3"/>
      <c r="T248" s="2"/>
      <c r="U248" s="2"/>
      <c r="V248" s="2"/>
      <c r="W248" s="4"/>
      <c r="X248" s="4"/>
      <c r="Y248" s="4"/>
      <c r="Z248" s="5"/>
      <c r="AA248" s="5"/>
      <c r="AB248" s="5"/>
      <c r="AC248" s="5"/>
      <c r="AD248" s="5"/>
      <c r="AE248" s="5"/>
      <c r="AF248" s="5"/>
      <c r="AG248" s="2"/>
      <c r="AH248" s="2"/>
      <c r="AI248" s="2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ht="14.25" customHeight="1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3"/>
      <c r="S249" s="3"/>
      <c r="T249" s="2"/>
      <c r="U249" s="2"/>
      <c r="V249" s="2"/>
      <c r="W249" s="4"/>
      <c r="X249" s="4"/>
      <c r="Y249" s="4"/>
      <c r="Z249" s="5"/>
      <c r="AA249" s="5"/>
      <c r="AB249" s="5"/>
      <c r="AC249" s="5"/>
      <c r="AD249" s="5"/>
      <c r="AE249" s="5"/>
      <c r="AF249" s="5"/>
      <c r="AG249" s="2"/>
      <c r="AH249" s="2"/>
      <c r="AI249" s="2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ht="14.25" customHeight="1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3"/>
      <c r="S250" s="3"/>
      <c r="T250" s="2"/>
      <c r="U250" s="2"/>
      <c r="V250" s="2"/>
      <c r="W250" s="4"/>
      <c r="X250" s="4"/>
      <c r="Y250" s="4"/>
      <c r="Z250" s="5"/>
      <c r="AA250" s="5"/>
      <c r="AB250" s="5"/>
      <c r="AC250" s="5"/>
      <c r="AD250" s="5"/>
      <c r="AE250" s="5"/>
      <c r="AF250" s="5"/>
      <c r="AG250" s="2"/>
      <c r="AH250" s="2"/>
      <c r="AI250" s="2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ht="14.25" customHeight="1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3"/>
      <c r="S251" s="3"/>
      <c r="T251" s="2"/>
      <c r="U251" s="2"/>
      <c r="V251" s="2"/>
      <c r="W251" s="4"/>
      <c r="X251" s="4"/>
      <c r="Y251" s="4"/>
      <c r="Z251" s="5"/>
      <c r="AA251" s="5"/>
      <c r="AB251" s="5"/>
      <c r="AC251" s="5"/>
      <c r="AD251" s="5"/>
      <c r="AE251" s="5"/>
      <c r="AF251" s="5"/>
      <c r="AG251" s="2"/>
      <c r="AH251" s="2"/>
      <c r="AI251" s="2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ht="14.25" customHeight="1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3"/>
      <c r="S252" s="3"/>
      <c r="T252" s="2"/>
      <c r="U252" s="2"/>
      <c r="V252" s="2"/>
      <c r="W252" s="4"/>
      <c r="X252" s="4"/>
      <c r="Y252" s="4"/>
      <c r="Z252" s="5"/>
      <c r="AA252" s="5"/>
      <c r="AB252" s="5"/>
      <c r="AC252" s="5"/>
      <c r="AD252" s="5"/>
      <c r="AE252" s="5"/>
      <c r="AF252" s="5"/>
      <c r="AG252" s="2"/>
      <c r="AH252" s="2"/>
      <c r="AI252" s="2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ht="14.25" customHeight="1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3"/>
      <c r="S253" s="3"/>
      <c r="T253" s="2"/>
      <c r="U253" s="2"/>
      <c r="V253" s="2"/>
      <c r="W253" s="4"/>
      <c r="X253" s="4"/>
      <c r="Y253" s="4"/>
      <c r="Z253" s="5"/>
      <c r="AA253" s="5"/>
      <c r="AB253" s="5"/>
      <c r="AC253" s="5"/>
      <c r="AD253" s="5"/>
      <c r="AE253" s="5"/>
      <c r="AF253" s="5"/>
      <c r="AG253" s="2"/>
      <c r="AH253" s="2"/>
      <c r="AI253" s="2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ht="14.25" customHeight="1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3"/>
      <c r="S254" s="3"/>
      <c r="T254" s="2"/>
      <c r="U254" s="2"/>
      <c r="V254" s="2"/>
      <c r="W254" s="4"/>
      <c r="X254" s="4"/>
      <c r="Y254" s="4"/>
      <c r="Z254" s="5"/>
      <c r="AA254" s="5"/>
      <c r="AB254" s="5"/>
      <c r="AC254" s="5"/>
      <c r="AD254" s="5"/>
      <c r="AE254" s="5"/>
      <c r="AF254" s="5"/>
      <c r="AG254" s="2"/>
      <c r="AH254" s="2"/>
      <c r="AI254" s="2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ht="14.25" customHeight="1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3"/>
      <c r="S255" s="3"/>
      <c r="T255" s="2"/>
      <c r="U255" s="2"/>
      <c r="V255" s="2"/>
      <c r="W255" s="4"/>
      <c r="X255" s="4"/>
      <c r="Y255" s="4"/>
      <c r="Z255" s="5"/>
      <c r="AA255" s="5"/>
      <c r="AB255" s="5"/>
      <c r="AC255" s="5"/>
      <c r="AD255" s="5"/>
      <c r="AE255" s="5"/>
      <c r="AF255" s="5"/>
      <c r="AG255" s="2"/>
      <c r="AH255" s="2"/>
      <c r="AI255" s="2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ht="14.25" customHeight="1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3"/>
      <c r="S256" s="3"/>
      <c r="T256" s="2"/>
      <c r="U256" s="2"/>
      <c r="V256" s="2"/>
      <c r="W256" s="4"/>
      <c r="X256" s="4"/>
      <c r="Y256" s="4"/>
      <c r="Z256" s="5"/>
      <c r="AA256" s="5"/>
      <c r="AB256" s="5"/>
      <c r="AC256" s="5"/>
      <c r="AD256" s="5"/>
      <c r="AE256" s="5"/>
      <c r="AF256" s="5"/>
      <c r="AG256" s="2"/>
      <c r="AH256" s="2"/>
      <c r="AI256" s="2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ht="14.25" customHeight="1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3"/>
      <c r="S257" s="3"/>
      <c r="T257" s="2"/>
      <c r="U257" s="2"/>
      <c r="V257" s="2"/>
      <c r="W257" s="4"/>
      <c r="X257" s="4"/>
      <c r="Y257" s="4"/>
      <c r="Z257" s="5"/>
      <c r="AA257" s="5"/>
      <c r="AB257" s="5"/>
      <c r="AC257" s="5"/>
      <c r="AD257" s="5"/>
      <c r="AE257" s="5"/>
      <c r="AF257" s="5"/>
      <c r="AG257" s="2"/>
      <c r="AH257" s="2"/>
      <c r="AI257" s="2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ht="14.25" customHeight="1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3"/>
      <c r="S258" s="3"/>
      <c r="T258" s="2"/>
      <c r="U258" s="2"/>
      <c r="V258" s="2"/>
      <c r="W258" s="4"/>
      <c r="X258" s="4"/>
      <c r="Y258" s="4"/>
      <c r="Z258" s="5"/>
      <c r="AA258" s="5"/>
      <c r="AB258" s="5"/>
      <c r="AC258" s="5"/>
      <c r="AD258" s="5"/>
      <c r="AE258" s="5"/>
      <c r="AF258" s="5"/>
      <c r="AG258" s="2"/>
      <c r="AH258" s="2"/>
      <c r="AI258" s="2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ht="14.25" customHeight="1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3"/>
      <c r="S259" s="3"/>
      <c r="T259" s="2"/>
      <c r="U259" s="2"/>
      <c r="V259" s="2"/>
      <c r="W259" s="4"/>
      <c r="X259" s="4"/>
      <c r="Y259" s="4"/>
      <c r="Z259" s="5"/>
      <c r="AA259" s="5"/>
      <c r="AB259" s="5"/>
      <c r="AC259" s="5"/>
      <c r="AD259" s="5"/>
      <c r="AE259" s="5"/>
      <c r="AF259" s="5"/>
      <c r="AG259" s="2"/>
      <c r="AH259" s="2"/>
      <c r="AI259" s="2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ht="14.25" customHeight="1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3"/>
      <c r="S260" s="3"/>
      <c r="T260" s="2"/>
      <c r="U260" s="2"/>
      <c r="V260" s="2"/>
      <c r="W260" s="4"/>
      <c r="X260" s="4"/>
      <c r="Y260" s="4"/>
      <c r="Z260" s="5"/>
      <c r="AA260" s="5"/>
      <c r="AB260" s="5"/>
      <c r="AC260" s="5"/>
      <c r="AD260" s="5"/>
      <c r="AE260" s="5"/>
      <c r="AF260" s="5"/>
      <c r="AG260" s="2"/>
      <c r="AH260" s="2"/>
      <c r="AI260" s="2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ht="14.25" customHeight="1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3"/>
      <c r="S261" s="3"/>
      <c r="T261" s="2"/>
      <c r="U261" s="2"/>
      <c r="V261" s="2"/>
      <c r="W261" s="4"/>
      <c r="X261" s="4"/>
      <c r="Y261" s="4"/>
      <c r="Z261" s="5"/>
      <c r="AA261" s="5"/>
      <c r="AB261" s="5"/>
      <c r="AC261" s="5"/>
      <c r="AD261" s="5"/>
      <c r="AE261" s="5"/>
      <c r="AF261" s="5"/>
      <c r="AG261" s="2"/>
      <c r="AH261" s="2"/>
      <c r="AI261" s="2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ht="14.25" customHeight="1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3"/>
      <c r="S262" s="3"/>
      <c r="T262" s="2"/>
      <c r="U262" s="2"/>
      <c r="V262" s="2"/>
      <c r="W262" s="4"/>
      <c r="X262" s="4"/>
      <c r="Y262" s="4"/>
      <c r="Z262" s="5"/>
      <c r="AA262" s="5"/>
      <c r="AB262" s="5"/>
      <c r="AC262" s="5"/>
      <c r="AD262" s="5"/>
      <c r="AE262" s="5"/>
      <c r="AF262" s="5"/>
      <c r="AG262" s="2"/>
      <c r="AH262" s="2"/>
      <c r="AI262" s="2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ht="14.25" customHeight="1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3"/>
      <c r="S263" s="3"/>
      <c r="T263" s="2"/>
      <c r="U263" s="2"/>
      <c r="V263" s="2"/>
      <c r="W263" s="4"/>
      <c r="X263" s="4"/>
      <c r="Y263" s="4"/>
      <c r="Z263" s="5"/>
      <c r="AA263" s="5"/>
      <c r="AB263" s="5"/>
      <c r="AC263" s="5"/>
      <c r="AD263" s="5"/>
      <c r="AE263" s="5"/>
      <c r="AF263" s="5"/>
      <c r="AG263" s="2"/>
      <c r="AH263" s="2"/>
      <c r="AI263" s="2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ht="14.25" customHeight="1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3"/>
      <c r="S264" s="3"/>
      <c r="T264" s="2"/>
      <c r="U264" s="2"/>
      <c r="V264" s="2"/>
      <c r="W264" s="4"/>
      <c r="X264" s="4"/>
      <c r="Y264" s="4"/>
      <c r="Z264" s="5"/>
      <c r="AA264" s="5"/>
      <c r="AB264" s="5"/>
      <c r="AC264" s="5"/>
      <c r="AD264" s="5"/>
      <c r="AE264" s="5"/>
      <c r="AF264" s="5"/>
      <c r="AG264" s="2"/>
      <c r="AH264" s="2"/>
      <c r="AI264" s="2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ht="14.25" customHeight="1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3"/>
      <c r="S265" s="3"/>
      <c r="T265" s="2"/>
      <c r="U265" s="2"/>
      <c r="V265" s="2"/>
      <c r="W265" s="4"/>
      <c r="X265" s="4"/>
      <c r="Y265" s="4"/>
      <c r="Z265" s="5"/>
      <c r="AA265" s="5"/>
      <c r="AB265" s="5"/>
      <c r="AC265" s="5"/>
      <c r="AD265" s="5"/>
      <c r="AE265" s="5"/>
      <c r="AF265" s="5"/>
      <c r="AG265" s="2"/>
      <c r="AH265" s="2"/>
      <c r="AI265" s="2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ht="14.25" customHeight="1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3"/>
      <c r="S266" s="3"/>
      <c r="T266" s="2"/>
      <c r="U266" s="2"/>
      <c r="V266" s="2"/>
      <c r="W266" s="4"/>
      <c r="X266" s="4"/>
      <c r="Y266" s="4"/>
      <c r="Z266" s="5"/>
      <c r="AA266" s="5"/>
      <c r="AB266" s="5"/>
      <c r="AC266" s="5"/>
      <c r="AD266" s="5"/>
      <c r="AE266" s="5"/>
      <c r="AF266" s="5"/>
      <c r="AG266" s="2"/>
      <c r="AH266" s="2"/>
      <c r="AI266" s="2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ht="14.25" customHeight="1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3"/>
      <c r="S267" s="3"/>
      <c r="T267" s="2"/>
      <c r="U267" s="2"/>
      <c r="V267" s="2"/>
      <c r="W267" s="4"/>
      <c r="X267" s="4"/>
      <c r="Y267" s="4"/>
      <c r="Z267" s="5"/>
      <c r="AA267" s="5"/>
      <c r="AB267" s="5"/>
      <c r="AC267" s="5"/>
      <c r="AD267" s="5"/>
      <c r="AE267" s="5"/>
      <c r="AF267" s="5"/>
      <c r="AG267" s="2"/>
      <c r="AH267" s="2"/>
      <c r="AI267" s="2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ht="14.25" customHeight="1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3"/>
      <c r="S268" s="3"/>
      <c r="T268" s="2"/>
      <c r="U268" s="2"/>
      <c r="V268" s="2"/>
      <c r="W268" s="4"/>
      <c r="X268" s="4"/>
      <c r="Y268" s="4"/>
      <c r="Z268" s="5"/>
      <c r="AA268" s="5"/>
      <c r="AB268" s="5"/>
      <c r="AC268" s="5"/>
      <c r="AD268" s="5"/>
      <c r="AE268" s="5"/>
      <c r="AF268" s="5"/>
      <c r="AG268" s="2"/>
      <c r="AH268" s="2"/>
      <c r="AI268" s="2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ht="14.25" customHeight="1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3"/>
      <c r="S269" s="3"/>
      <c r="T269" s="2"/>
      <c r="U269" s="2"/>
      <c r="V269" s="2"/>
      <c r="W269" s="4"/>
      <c r="X269" s="4"/>
      <c r="Y269" s="4"/>
      <c r="Z269" s="5"/>
      <c r="AA269" s="5"/>
      <c r="AB269" s="5"/>
      <c r="AC269" s="5"/>
      <c r="AD269" s="5"/>
      <c r="AE269" s="5"/>
      <c r="AF269" s="5"/>
      <c r="AG269" s="2"/>
      <c r="AH269" s="2"/>
      <c r="AI269" s="2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ht="14.25" customHeight="1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3"/>
      <c r="S270" s="3"/>
      <c r="T270" s="2"/>
      <c r="U270" s="2"/>
      <c r="V270" s="2"/>
      <c r="W270" s="4"/>
      <c r="X270" s="4"/>
      <c r="Y270" s="4"/>
      <c r="Z270" s="5"/>
      <c r="AA270" s="5"/>
      <c r="AB270" s="5"/>
      <c r="AC270" s="5"/>
      <c r="AD270" s="5"/>
      <c r="AE270" s="5"/>
      <c r="AF270" s="5"/>
      <c r="AG270" s="2"/>
      <c r="AH270" s="2"/>
      <c r="AI270" s="2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ht="14.25" customHeight="1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3"/>
      <c r="S271" s="3"/>
      <c r="T271" s="2"/>
      <c r="U271" s="2"/>
      <c r="V271" s="2"/>
      <c r="W271" s="4"/>
      <c r="X271" s="4"/>
      <c r="Y271" s="4"/>
      <c r="Z271" s="5"/>
      <c r="AA271" s="5"/>
      <c r="AB271" s="5"/>
      <c r="AC271" s="5"/>
      <c r="AD271" s="5"/>
      <c r="AE271" s="5"/>
      <c r="AF271" s="5"/>
      <c r="AG271" s="2"/>
      <c r="AH271" s="2"/>
      <c r="AI271" s="2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ht="14.25" customHeight="1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3"/>
      <c r="S272" s="3"/>
      <c r="T272" s="2"/>
      <c r="U272" s="2"/>
      <c r="V272" s="2"/>
      <c r="W272" s="4"/>
      <c r="X272" s="4"/>
      <c r="Y272" s="4"/>
      <c r="Z272" s="5"/>
      <c r="AA272" s="5"/>
      <c r="AB272" s="5"/>
      <c r="AC272" s="5"/>
      <c r="AD272" s="5"/>
      <c r="AE272" s="5"/>
      <c r="AF272" s="5"/>
      <c r="AG272" s="2"/>
      <c r="AH272" s="2"/>
      <c r="AI272" s="2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ht="14.25" customHeight="1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3"/>
      <c r="S273" s="3"/>
      <c r="T273" s="2"/>
      <c r="U273" s="2"/>
      <c r="V273" s="2"/>
      <c r="W273" s="4"/>
      <c r="X273" s="4"/>
      <c r="Y273" s="4"/>
      <c r="Z273" s="5"/>
      <c r="AA273" s="5"/>
      <c r="AB273" s="5"/>
      <c r="AC273" s="5"/>
      <c r="AD273" s="5"/>
      <c r="AE273" s="5"/>
      <c r="AF273" s="5"/>
      <c r="AG273" s="2"/>
      <c r="AH273" s="2"/>
      <c r="AI273" s="2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ht="14.25" customHeight="1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3"/>
      <c r="S274" s="3"/>
      <c r="T274" s="2"/>
      <c r="U274" s="2"/>
      <c r="V274" s="2"/>
      <c r="W274" s="4"/>
      <c r="X274" s="4"/>
      <c r="Y274" s="4"/>
      <c r="Z274" s="5"/>
      <c r="AA274" s="5"/>
      <c r="AB274" s="5"/>
      <c r="AC274" s="5"/>
      <c r="AD274" s="5"/>
      <c r="AE274" s="5"/>
      <c r="AF274" s="5"/>
      <c r="AG274" s="2"/>
      <c r="AH274" s="2"/>
      <c r="AI274" s="2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ht="14.25" customHeight="1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3"/>
      <c r="S275" s="3"/>
      <c r="T275" s="2"/>
      <c r="U275" s="2"/>
      <c r="V275" s="2"/>
      <c r="W275" s="4"/>
      <c r="X275" s="4"/>
      <c r="Y275" s="4"/>
      <c r="Z275" s="5"/>
      <c r="AA275" s="5"/>
      <c r="AB275" s="5"/>
      <c r="AC275" s="5"/>
      <c r="AD275" s="5"/>
      <c r="AE275" s="5"/>
      <c r="AF275" s="5"/>
      <c r="AG275" s="2"/>
      <c r="AH275" s="2"/>
      <c r="AI275" s="2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ht="14.25" customHeight="1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3"/>
      <c r="S276" s="3"/>
      <c r="T276" s="2"/>
      <c r="U276" s="2"/>
      <c r="V276" s="2"/>
      <c r="W276" s="4"/>
      <c r="X276" s="4"/>
      <c r="Y276" s="4"/>
      <c r="Z276" s="5"/>
      <c r="AA276" s="5"/>
      <c r="AB276" s="5"/>
      <c r="AC276" s="5"/>
      <c r="AD276" s="5"/>
      <c r="AE276" s="5"/>
      <c r="AF276" s="5"/>
      <c r="AG276" s="2"/>
      <c r="AH276" s="2"/>
      <c r="AI276" s="2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ht="14.25" customHeight="1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3"/>
      <c r="S277" s="3"/>
      <c r="T277" s="2"/>
      <c r="U277" s="2"/>
      <c r="V277" s="2"/>
      <c r="W277" s="4"/>
      <c r="X277" s="4"/>
      <c r="Y277" s="4"/>
      <c r="Z277" s="5"/>
      <c r="AA277" s="5"/>
      <c r="AB277" s="5"/>
      <c r="AC277" s="5"/>
      <c r="AD277" s="5"/>
      <c r="AE277" s="5"/>
      <c r="AF277" s="5"/>
      <c r="AG277" s="2"/>
      <c r="AH277" s="2"/>
      <c r="AI277" s="2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ht="14.25" customHeight="1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3"/>
      <c r="S278" s="3"/>
      <c r="T278" s="2"/>
      <c r="U278" s="2"/>
      <c r="V278" s="2"/>
      <c r="W278" s="4"/>
      <c r="X278" s="4"/>
      <c r="Y278" s="4"/>
      <c r="Z278" s="5"/>
      <c r="AA278" s="5"/>
      <c r="AB278" s="5"/>
      <c r="AC278" s="5"/>
      <c r="AD278" s="5"/>
      <c r="AE278" s="5"/>
      <c r="AF278" s="5"/>
      <c r="AG278" s="2"/>
      <c r="AH278" s="2"/>
      <c r="AI278" s="2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ht="14.25" customHeight="1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3"/>
      <c r="S279" s="3"/>
      <c r="T279" s="2"/>
      <c r="U279" s="2"/>
      <c r="V279" s="2"/>
      <c r="W279" s="4"/>
      <c r="X279" s="4"/>
      <c r="Y279" s="4"/>
      <c r="Z279" s="5"/>
      <c r="AA279" s="5"/>
      <c r="AB279" s="5"/>
      <c r="AC279" s="5"/>
      <c r="AD279" s="5"/>
      <c r="AE279" s="5"/>
      <c r="AF279" s="5"/>
      <c r="AG279" s="2"/>
      <c r="AH279" s="2"/>
      <c r="AI279" s="2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ht="14.25" customHeight="1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3"/>
      <c r="S280" s="3"/>
      <c r="T280" s="2"/>
      <c r="U280" s="2"/>
      <c r="V280" s="2"/>
      <c r="W280" s="4"/>
      <c r="X280" s="4"/>
      <c r="Y280" s="4"/>
      <c r="Z280" s="5"/>
      <c r="AA280" s="5"/>
      <c r="AB280" s="5"/>
      <c r="AC280" s="5"/>
      <c r="AD280" s="5"/>
      <c r="AE280" s="5"/>
      <c r="AF280" s="5"/>
      <c r="AG280" s="2"/>
      <c r="AH280" s="2"/>
      <c r="AI280" s="2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ht="14.25" customHeight="1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3"/>
      <c r="S281" s="3"/>
      <c r="T281" s="2"/>
      <c r="U281" s="2"/>
      <c r="V281" s="2"/>
      <c r="W281" s="4"/>
      <c r="X281" s="4"/>
      <c r="Y281" s="4"/>
      <c r="Z281" s="5"/>
      <c r="AA281" s="5"/>
      <c r="AB281" s="5"/>
      <c r="AC281" s="5"/>
      <c r="AD281" s="5"/>
      <c r="AE281" s="5"/>
      <c r="AF281" s="5"/>
      <c r="AG281" s="2"/>
      <c r="AH281" s="2"/>
      <c r="AI281" s="2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ht="14.25" customHeight="1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3"/>
      <c r="S282" s="3"/>
      <c r="T282" s="2"/>
      <c r="U282" s="2"/>
      <c r="V282" s="2"/>
      <c r="W282" s="4"/>
      <c r="X282" s="4"/>
      <c r="Y282" s="4"/>
      <c r="Z282" s="5"/>
      <c r="AA282" s="5"/>
      <c r="AB282" s="5"/>
      <c r="AC282" s="5"/>
      <c r="AD282" s="5"/>
      <c r="AE282" s="5"/>
      <c r="AF282" s="5"/>
      <c r="AG282" s="2"/>
      <c r="AH282" s="2"/>
      <c r="AI282" s="2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ht="14.25" customHeight="1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3"/>
      <c r="S283" s="3"/>
      <c r="T283" s="2"/>
      <c r="U283" s="2"/>
      <c r="V283" s="2"/>
      <c r="W283" s="4"/>
      <c r="X283" s="4"/>
      <c r="Y283" s="4"/>
      <c r="Z283" s="5"/>
      <c r="AA283" s="5"/>
      <c r="AB283" s="5"/>
      <c r="AC283" s="5"/>
      <c r="AD283" s="5"/>
      <c r="AE283" s="5"/>
      <c r="AF283" s="5"/>
      <c r="AG283" s="2"/>
      <c r="AH283" s="2"/>
      <c r="AI283" s="2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ht="14.25" customHeight="1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3"/>
      <c r="S284" s="3"/>
      <c r="T284" s="2"/>
      <c r="U284" s="2"/>
      <c r="V284" s="2"/>
      <c r="W284" s="4"/>
      <c r="X284" s="4"/>
      <c r="Y284" s="4"/>
      <c r="Z284" s="5"/>
      <c r="AA284" s="5"/>
      <c r="AB284" s="5"/>
      <c r="AC284" s="5"/>
      <c r="AD284" s="5"/>
      <c r="AE284" s="5"/>
      <c r="AF284" s="5"/>
      <c r="AG284" s="2"/>
      <c r="AH284" s="2"/>
      <c r="AI284" s="2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ht="14.25" customHeight="1">
      <c r="A285" s="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3"/>
      <c r="S285" s="3"/>
      <c r="T285" s="2"/>
      <c r="U285" s="2"/>
      <c r="V285" s="2"/>
      <c r="W285" s="4"/>
      <c r="X285" s="4"/>
      <c r="Y285" s="4"/>
      <c r="Z285" s="5"/>
      <c r="AA285" s="5"/>
      <c r="AB285" s="5"/>
      <c r="AC285" s="5"/>
      <c r="AD285" s="5"/>
      <c r="AE285" s="5"/>
      <c r="AF285" s="5"/>
      <c r="AG285" s="2"/>
      <c r="AH285" s="2"/>
      <c r="AI285" s="2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ht="14.25" customHeight="1">
      <c r="A286" s="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3"/>
      <c r="S286" s="3"/>
      <c r="T286" s="2"/>
      <c r="U286" s="2"/>
      <c r="V286" s="2"/>
      <c r="W286" s="4"/>
      <c r="X286" s="4"/>
      <c r="Y286" s="4"/>
      <c r="Z286" s="5"/>
      <c r="AA286" s="5"/>
      <c r="AB286" s="5"/>
      <c r="AC286" s="5"/>
      <c r="AD286" s="5"/>
      <c r="AE286" s="5"/>
      <c r="AF286" s="5"/>
      <c r="AG286" s="2"/>
      <c r="AH286" s="2"/>
      <c r="AI286" s="2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ht="14.25" customHeight="1">
      <c r="A287" s="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3"/>
      <c r="S287" s="3"/>
      <c r="T287" s="2"/>
      <c r="U287" s="2"/>
      <c r="V287" s="2"/>
      <c r="W287" s="4"/>
      <c r="X287" s="4"/>
      <c r="Y287" s="4"/>
      <c r="Z287" s="5"/>
      <c r="AA287" s="5"/>
      <c r="AB287" s="5"/>
      <c r="AC287" s="5"/>
      <c r="AD287" s="5"/>
      <c r="AE287" s="5"/>
      <c r="AF287" s="5"/>
      <c r="AG287" s="2"/>
      <c r="AH287" s="2"/>
      <c r="AI287" s="2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ht="14.25" customHeight="1">
      <c r="A288" s="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3"/>
      <c r="S288" s="3"/>
      <c r="T288" s="2"/>
      <c r="U288" s="2"/>
      <c r="V288" s="2"/>
      <c r="W288" s="4"/>
      <c r="X288" s="4"/>
      <c r="Y288" s="4"/>
      <c r="Z288" s="5"/>
      <c r="AA288" s="5"/>
      <c r="AB288" s="5"/>
      <c r="AC288" s="5"/>
      <c r="AD288" s="5"/>
      <c r="AE288" s="5"/>
      <c r="AF288" s="5"/>
      <c r="AG288" s="2"/>
      <c r="AH288" s="2"/>
      <c r="AI288" s="2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ht="14.25" customHeight="1">
      <c r="A289" s="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3"/>
      <c r="S289" s="3"/>
      <c r="T289" s="2"/>
      <c r="U289" s="2"/>
      <c r="V289" s="2"/>
      <c r="W289" s="4"/>
      <c r="X289" s="4"/>
      <c r="Y289" s="4"/>
      <c r="Z289" s="5"/>
      <c r="AA289" s="5"/>
      <c r="AB289" s="5"/>
      <c r="AC289" s="5"/>
      <c r="AD289" s="5"/>
      <c r="AE289" s="5"/>
      <c r="AF289" s="5"/>
      <c r="AG289" s="2"/>
      <c r="AH289" s="2"/>
      <c r="AI289" s="2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ht="14.25" customHeight="1">
      <c r="A290" s="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3"/>
      <c r="S290" s="3"/>
      <c r="T290" s="2"/>
      <c r="U290" s="2"/>
      <c r="V290" s="2"/>
      <c r="W290" s="4"/>
      <c r="X290" s="4"/>
      <c r="Y290" s="4"/>
      <c r="Z290" s="5"/>
      <c r="AA290" s="5"/>
      <c r="AB290" s="5"/>
      <c r="AC290" s="5"/>
      <c r="AD290" s="5"/>
      <c r="AE290" s="5"/>
      <c r="AF290" s="5"/>
      <c r="AG290" s="2"/>
      <c r="AH290" s="2"/>
      <c r="AI290" s="2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ht="14.25" customHeight="1">
      <c r="A291" s="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3"/>
      <c r="S291" s="3"/>
      <c r="T291" s="2"/>
      <c r="U291" s="2"/>
      <c r="V291" s="2"/>
      <c r="W291" s="4"/>
      <c r="X291" s="4"/>
      <c r="Y291" s="4"/>
      <c r="Z291" s="5"/>
      <c r="AA291" s="5"/>
      <c r="AB291" s="5"/>
      <c r="AC291" s="5"/>
      <c r="AD291" s="5"/>
      <c r="AE291" s="5"/>
      <c r="AF291" s="5"/>
      <c r="AG291" s="2"/>
      <c r="AH291" s="2"/>
      <c r="AI291" s="2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ht="14.25" customHeight="1">
      <c r="A292" s="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3"/>
      <c r="S292" s="3"/>
      <c r="T292" s="2"/>
      <c r="U292" s="2"/>
      <c r="V292" s="2"/>
      <c r="W292" s="4"/>
      <c r="X292" s="4"/>
      <c r="Y292" s="4"/>
      <c r="Z292" s="5"/>
      <c r="AA292" s="5"/>
      <c r="AB292" s="5"/>
      <c r="AC292" s="5"/>
      <c r="AD292" s="5"/>
      <c r="AE292" s="5"/>
      <c r="AF292" s="5"/>
      <c r="AG292" s="2"/>
      <c r="AH292" s="2"/>
      <c r="AI292" s="2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ht="14.25" customHeight="1">
      <c r="A293" s="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3"/>
      <c r="S293" s="3"/>
      <c r="T293" s="2"/>
      <c r="U293" s="2"/>
      <c r="V293" s="2"/>
      <c r="W293" s="4"/>
      <c r="X293" s="4"/>
      <c r="Y293" s="4"/>
      <c r="Z293" s="5"/>
      <c r="AA293" s="5"/>
      <c r="AB293" s="5"/>
      <c r="AC293" s="5"/>
      <c r="AD293" s="5"/>
      <c r="AE293" s="5"/>
      <c r="AF293" s="5"/>
      <c r="AG293" s="2"/>
      <c r="AH293" s="2"/>
      <c r="AI293" s="2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ht="14.25" customHeight="1">
      <c r="A294" s="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3"/>
      <c r="S294" s="3"/>
      <c r="T294" s="2"/>
      <c r="U294" s="2"/>
      <c r="V294" s="2"/>
      <c r="W294" s="4"/>
      <c r="X294" s="4"/>
      <c r="Y294" s="4"/>
      <c r="Z294" s="5"/>
      <c r="AA294" s="5"/>
      <c r="AB294" s="5"/>
      <c r="AC294" s="5"/>
      <c r="AD294" s="5"/>
      <c r="AE294" s="5"/>
      <c r="AF294" s="5"/>
      <c r="AG294" s="2"/>
      <c r="AH294" s="2"/>
      <c r="AI294" s="2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ht="14.25" customHeight="1">
      <c r="A295" s="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3"/>
      <c r="S295" s="3"/>
      <c r="T295" s="2"/>
      <c r="U295" s="2"/>
      <c r="V295" s="2"/>
      <c r="W295" s="4"/>
      <c r="X295" s="4"/>
      <c r="Y295" s="4"/>
      <c r="Z295" s="5"/>
      <c r="AA295" s="5"/>
      <c r="AB295" s="5"/>
      <c r="AC295" s="5"/>
      <c r="AD295" s="5"/>
      <c r="AE295" s="5"/>
      <c r="AF295" s="5"/>
      <c r="AG295" s="2"/>
      <c r="AH295" s="2"/>
      <c r="AI295" s="2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ht="14.25" customHeight="1">
      <c r="A296" s="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3"/>
      <c r="S296" s="3"/>
      <c r="T296" s="2"/>
      <c r="U296" s="2"/>
      <c r="V296" s="2"/>
      <c r="W296" s="4"/>
      <c r="X296" s="4"/>
      <c r="Y296" s="4"/>
      <c r="Z296" s="5"/>
      <c r="AA296" s="5"/>
      <c r="AB296" s="5"/>
      <c r="AC296" s="5"/>
      <c r="AD296" s="5"/>
      <c r="AE296" s="5"/>
      <c r="AF296" s="5"/>
      <c r="AG296" s="2"/>
      <c r="AH296" s="2"/>
      <c r="AI296" s="2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ht="14.25" customHeight="1">
      <c r="A297" s="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3"/>
      <c r="S297" s="3"/>
      <c r="T297" s="2"/>
      <c r="U297" s="2"/>
      <c r="V297" s="2"/>
      <c r="W297" s="4"/>
      <c r="X297" s="4"/>
      <c r="Y297" s="4"/>
      <c r="Z297" s="5"/>
      <c r="AA297" s="5"/>
      <c r="AB297" s="5"/>
      <c r="AC297" s="5"/>
      <c r="AD297" s="5"/>
      <c r="AE297" s="5"/>
      <c r="AF297" s="5"/>
      <c r="AG297" s="2"/>
      <c r="AH297" s="2"/>
      <c r="AI297" s="2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ht="14.25" customHeight="1">
      <c r="A298" s="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3"/>
      <c r="S298" s="3"/>
      <c r="T298" s="2"/>
      <c r="U298" s="2"/>
      <c r="V298" s="2"/>
      <c r="W298" s="4"/>
      <c r="X298" s="4"/>
      <c r="Y298" s="4"/>
      <c r="Z298" s="5"/>
      <c r="AA298" s="5"/>
      <c r="AB298" s="5"/>
      <c r="AC298" s="5"/>
      <c r="AD298" s="5"/>
      <c r="AE298" s="5"/>
      <c r="AF298" s="5"/>
      <c r="AG298" s="2"/>
      <c r="AH298" s="2"/>
      <c r="AI298" s="2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ht="14.25" customHeight="1">
      <c r="A299" s="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3"/>
      <c r="S299" s="3"/>
      <c r="T299" s="2"/>
      <c r="U299" s="2"/>
      <c r="V299" s="2"/>
      <c r="W299" s="4"/>
      <c r="X299" s="4"/>
      <c r="Y299" s="4"/>
      <c r="Z299" s="5"/>
      <c r="AA299" s="5"/>
      <c r="AB299" s="5"/>
      <c r="AC299" s="5"/>
      <c r="AD299" s="5"/>
      <c r="AE299" s="5"/>
      <c r="AF299" s="5"/>
      <c r="AG299" s="2"/>
      <c r="AH299" s="2"/>
      <c r="AI299" s="2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ht="14.25" customHeight="1">
      <c r="A300" s="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3"/>
      <c r="S300" s="3"/>
      <c r="T300" s="2"/>
      <c r="U300" s="2"/>
      <c r="V300" s="2"/>
      <c r="W300" s="4"/>
      <c r="X300" s="4"/>
      <c r="Y300" s="4"/>
      <c r="Z300" s="5"/>
      <c r="AA300" s="5"/>
      <c r="AB300" s="5"/>
      <c r="AC300" s="5"/>
      <c r="AD300" s="5"/>
      <c r="AE300" s="5"/>
      <c r="AF300" s="5"/>
      <c r="AG300" s="2"/>
      <c r="AH300" s="2"/>
      <c r="AI300" s="2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ht="14.25" customHeight="1">
      <c r="A301" s="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3"/>
      <c r="S301" s="3"/>
      <c r="T301" s="2"/>
      <c r="U301" s="2"/>
      <c r="V301" s="2"/>
      <c r="W301" s="4"/>
      <c r="X301" s="4"/>
      <c r="Y301" s="4"/>
      <c r="Z301" s="5"/>
      <c r="AA301" s="5"/>
      <c r="AB301" s="5"/>
      <c r="AC301" s="5"/>
      <c r="AD301" s="5"/>
      <c r="AE301" s="5"/>
      <c r="AF301" s="5"/>
      <c r="AG301" s="2"/>
      <c r="AH301" s="2"/>
      <c r="AI301" s="2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ht="14.25" customHeight="1">
      <c r="A302" s="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3"/>
      <c r="S302" s="3"/>
      <c r="T302" s="2"/>
      <c r="U302" s="2"/>
      <c r="V302" s="2"/>
      <c r="W302" s="4"/>
      <c r="X302" s="4"/>
      <c r="Y302" s="4"/>
      <c r="Z302" s="5"/>
      <c r="AA302" s="5"/>
      <c r="AB302" s="5"/>
      <c r="AC302" s="5"/>
      <c r="AD302" s="5"/>
      <c r="AE302" s="5"/>
      <c r="AF302" s="5"/>
      <c r="AG302" s="2"/>
      <c r="AH302" s="2"/>
      <c r="AI302" s="2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ht="14.25" customHeight="1">
      <c r="A303" s="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3"/>
      <c r="S303" s="3"/>
      <c r="T303" s="2"/>
      <c r="U303" s="2"/>
      <c r="V303" s="2"/>
      <c r="W303" s="4"/>
      <c r="X303" s="4"/>
      <c r="Y303" s="4"/>
      <c r="Z303" s="5"/>
      <c r="AA303" s="5"/>
      <c r="AB303" s="5"/>
      <c r="AC303" s="5"/>
      <c r="AD303" s="5"/>
      <c r="AE303" s="5"/>
      <c r="AF303" s="5"/>
      <c r="AG303" s="2"/>
      <c r="AH303" s="2"/>
      <c r="AI303" s="2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ht="14.25" customHeight="1">
      <c r="A304" s="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3"/>
      <c r="S304" s="3"/>
      <c r="T304" s="2"/>
      <c r="U304" s="2"/>
      <c r="V304" s="2"/>
      <c r="W304" s="4"/>
      <c r="X304" s="4"/>
      <c r="Y304" s="4"/>
      <c r="Z304" s="5"/>
      <c r="AA304" s="5"/>
      <c r="AB304" s="5"/>
      <c r="AC304" s="5"/>
      <c r="AD304" s="5"/>
      <c r="AE304" s="5"/>
      <c r="AF304" s="5"/>
      <c r="AG304" s="2"/>
      <c r="AH304" s="2"/>
      <c r="AI304" s="2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ht="14.25" customHeight="1">
      <c r="A305" s="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3"/>
      <c r="S305" s="3"/>
      <c r="T305" s="2"/>
      <c r="U305" s="2"/>
      <c r="V305" s="2"/>
      <c r="W305" s="4"/>
      <c r="X305" s="4"/>
      <c r="Y305" s="4"/>
      <c r="Z305" s="5"/>
      <c r="AA305" s="5"/>
      <c r="AB305" s="5"/>
      <c r="AC305" s="5"/>
      <c r="AD305" s="5"/>
      <c r="AE305" s="5"/>
      <c r="AF305" s="5"/>
      <c r="AG305" s="2"/>
      <c r="AH305" s="2"/>
      <c r="AI305" s="2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ht="14.25" customHeight="1">
      <c r="A306" s="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3"/>
      <c r="S306" s="3"/>
      <c r="T306" s="2"/>
      <c r="U306" s="2"/>
      <c r="V306" s="2"/>
      <c r="W306" s="4"/>
      <c r="X306" s="4"/>
      <c r="Y306" s="4"/>
      <c r="Z306" s="5"/>
      <c r="AA306" s="5"/>
      <c r="AB306" s="5"/>
      <c r="AC306" s="5"/>
      <c r="AD306" s="5"/>
      <c r="AE306" s="5"/>
      <c r="AF306" s="5"/>
      <c r="AG306" s="2"/>
      <c r="AH306" s="2"/>
      <c r="AI306" s="2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ht="14.25" customHeight="1">
      <c r="A307" s="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3"/>
      <c r="S307" s="3"/>
      <c r="T307" s="2"/>
      <c r="U307" s="2"/>
      <c r="V307" s="2"/>
      <c r="W307" s="4"/>
      <c r="X307" s="4"/>
      <c r="Y307" s="4"/>
      <c r="Z307" s="5"/>
      <c r="AA307" s="5"/>
      <c r="AB307" s="5"/>
      <c r="AC307" s="5"/>
      <c r="AD307" s="5"/>
      <c r="AE307" s="5"/>
      <c r="AF307" s="5"/>
      <c r="AG307" s="2"/>
      <c r="AH307" s="2"/>
      <c r="AI307" s="2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ht="14.25" customHeight="1">
      <c r="A308" s="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3"/>
      <c r="S308" s="3"/>
      <c r="T308" s="2"/>
      <c r="U308" s="2"/>
      <c r="V308" s="2"/>
      <c r="W308" s="4"/>
      <c r="X308" s="4"/>
      <c r="Y308" s="4"/>
      <c r="Z308" s="5"/>
      <c r="AA308" s="5"/>
      <c r="AB308" s="5"/>
      <c r="AC308" s="5"/>
      <c r="AD308" s="5"/>
      <c r="AE308" s="5"/>
      <c r="AF308" s="5"/>
      <c r="AG308" s="2"/>
      <c r="AH308" s="2"/>
      <c r="AI308" s="2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ht="14.25" customHeight="1">
      <c r="A309" s="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3"/>
      <c r="S309" s="3"/>
      <c r="T309" s="2"/>
      <c r="U309" s="2"/>
      <c r="V309" s="2"/>
      <c r="W309" s="4"/>
      <c r="X309" s="4"/>
      <c r="Y309" s="4"/>
      <c r="Z309" s="5"/>
      <c r="AA309" s="5"/>
      <c r="AB309" s="5"/>
      <c r="AC309" s="5"/>
      <c r="AD309" s="5"/>
      <c r="AE309" s="5"/>
      <c r="AF309" s="5"/>
      <c r="AG309" s="2"/>
      <c r="AH309" s="2"/>
      <c r="AI309" s="2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ht="14.25" customHeight="1">
      <c r="A310" s="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3"/>
      <c r="S310" s="3"/>
      <c r="T310" s="2"/>
      <c r="U310" s="2"/>
      <c r="V310" s="2"/>
      <c r="W310" s="4"/>
      <c r="X310" s="4"/>
      <c r="Y310" s="4"/>
      <c r="Z310" s="5"/>
      <c r="AA310" s="5"/>
      <c r="AB310" s="5"/>
      <c r="AC310" s="5"/>
      <c r="AD310" s="5"/>
      <c r="AE310" s="5"/>
      <c r="AF310" s="5"/>
      <c r="AG310" s="2"/>
      <c r="AH310" s="2"/>
      <c r="AI310" s="2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ht="14.25" customHeight="1">
      <c r="A311" s="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3"/>
      <c r="S311" s="3"/>
      <c r="T311" s="2"/>
      <c r="U311" s="2"/>
      <c r="V311" s="2"/>
      <c r="W311" s="4"/>
      <c r="X311" s="4"/>
      <c r="Y311" s="4"/>
      <c r="Z311" s="5"/>
      <c r="AA311" s="5"/>
      <c r="AB311" s="5"/>
      <c r="AC311" s="5"/>
      <c r="AD311" s="5"/>
      <c r="AE311" s="5"/>
      <c r="AF311" s="5"/>
      <c r="AG311" s="2"/>
      <c r="AH311" s="2"/>
      <c r="AI311" s="2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ht="14.25" customHeight="1">
      <c r="A312" s="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3"/>
      <c r="S312" s="3"/>
      <c r="T312" s="2"/>
      <c r="U312" s="2"/>
      <c r="V312" s="2"/>
      <c r="W312" s="4"/>
      <c r="X312" s="4"/>
      <c r="Y312" s="4"/>
      <c r="Z312" s="5"/>
      <c r="AA312" s="5"/>
      <c r="AB312" s="5"/>
      <c r="AC312" s="5"/>
      <c r="AD312" s="5"/>
      <c r="AE312" s="5"/>
      <c r="AF312" s="5"/>
      <c r="AG312" s="2"/>
      <c r="AH312" s="2"/>
      <c r="AI312" s="2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ht="14.25" customHeight="1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3"/>
      <c r="S313" s="3"/>
      <c r="T313" s="2"/>
      <c r="U313" s="2"/>
      <c r="V313" s="2"/>
      <c r="W313" s="4"/>
      <c r="X313" s="4"/>
      <c r="Y313" s="4"/>
      <c r="Z313" s="5"/>
      <c r="AA313" s="5"/>
      <c r="AB313" s="5"/>
      <c r="AC313" s="5"/>
      <c r="AD313" s="5"/>
      <c r="AE313" s="5"/>
      <c r="AF313" s="5"/>
      <c r="AG313" s="2"/>
      <c r="AH313" s="2"/>
      <c r="AI313" s="2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ht="14.25" customHeight="1">
      <c r="A314" s="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3"/>
      <c r="S314" s="3"/>
      <c r="T314" s="2"/>
      <c r="U314" s="2"/>
      <c r="V314" s="2"/>
      <c r="W314" s="4"/>
      <c r="X314" s="4"/>
      <c r="Y314" s="4"/>
      <c r="Z314" s="5"/>
      <c r="AA314" s="5"/>
      <c r="AB314" s="5"/>
      <c r="AC314" s="5"/>
      <c r="AD314" s="5"/>
      <c r="AE314" s="5"/>
      <c r="AF314" s="5"/>
      <c r="AG314" s="2"/>
      <c r="AH314" s="2"/>
      <c r="AI314" s="2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ht="14.25" customHeight="1">
      <c r="A315" s="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3"/>
      <c r="S315" s="3"/>
      <c r="T315" s="2"/>
      <c r="U315" s="2"/>
      <c r="V315" s="2"/>
      <c r="W315" s="4"/>
      <c r="X315" s="4"/>
      <c r="Y315" s="4"/>
      <c r="Z315" s="5"/>
      <c r="AA315" s="5"/>
      <c r="AB315" s="5"/>
      <c r="AC315" s="5"/>
      <c r="AD315" s="5"/>
      <c r="AE315" s="5"/>
      <c r="AF315" s="5"/>
      <c r="AG315" s="2"/>
      <c r="AH315" s="2"/>
      <c r="AI315" s="2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ht="14.25" customHeight="1">
      <c r="A316" s="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3"/>
      <c r="S316" s="3"/>
      <c r="T316" s="2"/>
      <c r="U316" s="2"/>
      <c r="V316" s="2"/>
      <c r="W316" s="4"/>
      <c r="X316" s="4"/>
      <c r="Y316" s="4"/>
      <c r="Z316" s="5"/>
      <c r="AA316" s="5"/>
      <c r="AB316" s="5"/>
      <c r="AC316" s="5"/>
      <c r="AD316" s="5"/>
      <c r="AE316" s="5"/>
      <c r="AF316" s="5"/>
      <c r="AG316" s="2"/>
      <c r="AH316" s="2"/>
      <c r="AI316" s="2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ht="14.25" customHeight="1">
      <c r="A317" s="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3"/>
      <c r="S317" s="3"/>
      <c r="T317" s="2"/>
      <c r="U317" s="2"/>
      <c r="V317" s="2"/>
      <c r="W317" s="4"/>
      <c r="X317" s="4"/>
      <c r="Y317" s="4"/>
      <c r="Z317" s="5"/>
      <c r="AA317" s="5"/>
      <c r="AB317" s="5"/>
      <c r="AC317" s="5"/>
      <c r="AD317" s="5"/>
      <c r="AE317" s="5"/>
      <c r="AF317" s="5"/>
      <c r="AG317" s="2"/>
      <c r="AH317" s="2"/>
      <c r="AI317" s="2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ht="14.25" customHeight="1">
      <c r="A318" s="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3"/>
      <c r="S318" s="3"/>
      <c r="T318" s="2"/>
      <c r="U318" s="2"/>
      <c r="V318" s="2"/>
      <c r="W318" s="4"/>
      <c r="X318" s="4"/>
      <c r="Y318" s="4"/>
      <c r="Z318" s="5"/>
      <c r="AA318" s="5"/>
      <c r="AB318" s="5"/>
      <c r="AC318" s="5"/>
      <c r="AD318" s="5"/>
      <c r="AE318" s="5"/>
      <c r="AF318" s="5"/>
      <c r="AG318" s="2"/>
      <c r="AH318" s="2"/>
      <c r="AI318" s="2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ht="14.25" customHeight="1">
      <c r="A319" s="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3"/>
      <c r="S319" s="3"/>
      <c r="T319" s="2"/>
      <c r="U319" s="2"/>
      <c r="V319" s="2"/>
      <c r="W319" s="4"/>
      <c r="X319" s="4"/>
      <c r="Y319" s="4"/>
      <c r="Z319" s="5"/>
      <c r="AA319" s="5"/>
      <c r="AB319" s="5"/>
      <c r="AC319" s="5"/>
      <c r="AD319" s="5"/>
      <c r="AE319" s="5"/>
      <c r="AF319" s="5"/>
      <c r="AG319" s="2"/>
      <c r="AH319" s="2"/>
      <c r="AI319" s="2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ht="14.25" customHeight="1">
      <c r="A320" s="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3"/>
      <c r="S320" s="3"/>
      <c r="T320" s="2"/>
      <c r="U320" s="2"/>
      <c r="V320" s="2"/>
      <c r="W320" s="4"/>
      <c r="X320" s="4"/>
      <c r="Y320" s="4"/>
      <c r="Z320" s="5"/>
      <c r="AA320" s="5"/>
      <c r="AB320" s="5"/>
      <c r="AC320" s="5"/>
      <c r="AD320" s="5"/>
      <c r="AE320" s="5"/>
      <c r="AF320" s="5"/>
      <c r="AG320" s="2"/>
      <c r="AH320" s="2"/>
      <c r="AI320" s="2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ht="14.25" customHeight="1">
      <c r="A321" s="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3"/>
      <c r="S321" s="3"/>
      <c r="T321" s="2"/>
      <c r="U321" s="2"/>
      <c r="V321" s="2"/>
      <c r="W321" s="4"/>
      <c r="X321" s="4"/>
      <c r="Y321" s="4"/>
      <c r="Z321" s="5"/>
      <c r="AA321" s="5"/>
      <c r="AB321" s="5"/>
      <c r="AC321" s="5"/>
      <c r="AD321" s="5"/>
      <c r="AE321" s="5"/>
      <c r="AF321" s="5"/>
      <c r="AG321" s="2"/>
      <c r="AH321" s="2"/>
      <c r="AI321" s="2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ht="14.25" customHeight="1">
      <c r="A322" s="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3"/>
      <c r="S322" s="3"/>
      <c r="T322" s="2"/>
      <c r="U322" s="2"/>
      <c r="V322" s="2"/>
      <c r="W322" s="4"/>
      <c r="X322" s="4"/>
      <c r="Y322" s="4"/>
      <c r="Z322" s="5"/>
      <c r="AA322" s="5"/>
      <c r="AB322" s="5"/>
      <c r="AC322" s="5"/>
      <c r="AD322" s="5"/>
      <c r="AE322" s="5"/>
      <c r="AF322" s="5"/>
      <c r="AG322" s="2"/>
      <c r="AH322" s="2"/>
      <c r="AI322" s="2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ht="14.25" customHeight="1">
      <c r="A323" s="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3"/>
      <c r="S323" s="3"/>
      <c r="T323" s="2"/>
      <c r="U323" s="2"/>
      <c r="V323" s="2"/>
      <c r="W323" s="4"/>
      <c r="X323" s="4"/>
      <c r="Y323" s="4"/>
      <c r="Z323" s="5"/>
      <c r="AA323" s="5"/>
      <c r="AB323" s="5"/>
      <c r="AC323" s="5"/>
      <c r="AD323" s="5"/>
      <c r="AE323" s="5"/>
      <c r="AF323" s="5"/>
      <c r="AG323" s="2"/>
      <c r="AH323" s="2"/>
      <c r="AI323" s="2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ht="14.25" customHeight="1">
      <c r="A324" s="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3"/>
      <c r="S324" s="3"/>
      <c r="T324" s="2"/>
      <c r="U324" s="2"/>
      <c r="V324" s="2"/>
      <c r="W324" s="4"/>
      <c r="X324" s="4"/>
      <c r="Y324" s="4"/>
      <c r="Z324" s="5"/>
      <c r="AA324" s="5"/>
      <c r="AB324" s="5"/>
      <c r="AC324" s="5"/>
      <c r="AD324" s="5"/>
      <c r="AE324" s="5"/>
      <c r="AF324" s="5"/>
      <c r="AG324" s="2"/>
      <c r="AH324" s="2"/>
      <c r="AI324" s="2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ht="14.25" customHeight="1">
      <c r="A325" s="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3"/>
      <c r="S325" s="3"/>
      <c r="T325" s="2"/>
      <c r="U325" s="2"/>
      <c r="V325" s="2"/>
      <c r="W325" s="4"/>
      <c r="X325" s="4"/>
      <c r="Y325" s="4"/>
      <c r="Z325" s="5"/>
      <c r="AA325" s="5"/>
      <c r="AB325" s="5"/>
      <c r="AC325" s="5"/>
      <c r="AD325" s="5"/>
      <c r="AE325" s="5"/>
      <c r="AF325" s="5"/>
      <c r="AG325" s="2"/>
      <c r="AH325" s="2"/>
      <c r="AI325" s="2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ht="14.25" customHeight="1">
      <c r="A326" s="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3"/>
      <c r="S326" s="3"/>
      <c r="T326" s="2"/>
      <c r="U326" s="2"/>
      <c r="V326" s="2"/>
      <c r="W326" s="4"/>
      <c r="X326" s="4"/>
      <c r="Y326" s="4"/>
      <c r="Z326" s="5"/>
      <c r="AA326" s="5"/>
      <c r="AB326" s="5"/>
      <c r="AC326" s="5"/>
      <c r="AD326" s="5"/>
      <c r="AE326" s="5"/>
      <c r="AF326" s="5"/>
      <c r="AG326" s="2"/>
      <c r="AH326" s="2"/>
      <c r="AI326" s="2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ht="14.25" customHeight="1">
      <c r="A327" s="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3"/>
      <c r="S327" s="3"/>
      <c r="T327" s="2"/>
      <c r="U327" s="2"/>
      <c r="V327" s="2"/>
      <c r="W327" s="4"/>
      <c r="X327" s="4"/>
      <c r="Y327" s="4"/>
      <c r="Z327" s="5"/>
      <c r="AA327" s="5"/>
      <c r="AB327" s="5"/>
      <c r="AC327" s="5"/>
      <c r="AD327" s="5"/>
      <c r="AE327" s="5"/>
      <c r="AF327" s="5"/>
      <c r="AG327" s="2"/>
      <c r="AH327" s="2"/>
      <c r="AI327" s="2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ht="14.25" customHeight="1">
      <c r="A328" s="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3"/>
      <c r="S328" s="3"/>
      <c r="T328" s="2"/>
      <c r="U328" s="2"/>
      <c r="V328" s="2"/>
      <c r="W328" s="4"/>
      <c r="X328" s="4"/>
      <c r="Y328" s="4"/>
      <c r="Z328" s="5"/>
      <c r="AA328" s="5"/>
      <c r="AB328" s="5"/>
      <c r="AC328" s="5"/>
      <c r="AD328" s="5"/>
      <c r="AE328" s="5"/>
      <c r="AF328" s="5"/>
      <c r="AG328" s="2"/>
      <c r="AH328" s="2"/>
      <c r="AI328" s="2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ht="14.25" customHeight="1">
      <c r="A329" s="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3"/>
      <c r="S329" s="3"/>
      <c r="T329" s="2"/>
      <c r="U329" s="2"/>
      <c r="V329" s="2"/>
      <c r="W329" s="4"/>
      <c r="X329" s="4"/>
      <c r="Y329" s="4"/>
      <c r="Z329" s="5"/>
      <c r="AA329" s="5"/>
      <c r="AB329" s="5"/>
      <c r="AC329" s="5"/>
      <c r="AD329" s="5"/>
      <c r="AE329" s="5"/>
      <c r="AF329" s="5"/>
      <c r="AG329" s="2"/>
      <c r="AH329" s="2"/>
      <c r="AI329" s="2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ht="14.25" customHeight="1">
      <c r="A330" s="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3"/>
      <c r="S330" s="3"/>
      <c r="T330" s="2"/>
      <c r="U330" s="2"/>
      <c r="V330" s="2"/>
      <c r="W330" s="4"/>
      <c r="X330" s="4"/>
      <c r="Y330" s="4"/>
      <c r="Z330" s="5"/>
      <c r="AA330" s="5"/>
      <c r="AB330" s="5"/>
      <c r="AC330" s="5"/>
      <c r="AD330" s="5"/>
      <c r="AE330" s="5"/>
      <c r="AF330" s="5"/>
      <c r="AG330" s="2"/>
      <c r="AH330" s="2"/>
      <c r="AI330" s="2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ht="14.25" customHeight="1">
      <c r="A331" s="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3"/>
      <c r="S331" s="3"/>
      <c r="T331" s="2"/>
      <c r="U331" s="2"/>
      <c r="V331" s="2"/>
      <c r="W331" s="4"/>
      <c r="X331" s="4"/>
      <c r="Y331" s="4"/>
      <c r="Z331" s="5"/>
      <c r="AA331" s="5"/>
      <c r="AB331" s="5"/>
      <c r="AC331" s="5"/>
      <c r="AD331" s="5"/>
      <c r="AE331" s="5"/>
      <c r="AF331" s="5"/>
      <c r="AG331" s="2"/>
      <c r="AH331" s="2"/>
      <c r="AI331" s="2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ht="14.25" customHeight="1">
      <c r="A332" s="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3"/>
      <c r="S332" s="3"/>
      <c r="T332" s="2"/>
      <c r="U332" s="2"/>
      <c r="V332" s="2"/>
      <c r="W332" s="4"/>
      <c r="X332" s="4"/>
      <c r="Y332" s="4"/>
      <c r="Z332" s="5"/>
      <c r="AA332" s="5"/>
      <c r="AB332" s="5"/>
      <c r="AC332" s="5"/>
      <c r="AD332" s="5"/>
      <c r="AE332" s="5"/>
      <c r="AF332" s="5"/>
      <c r="AG332" s="2"/>
      <c r="AH332" s="2"/>
      <c r="AI332" s="2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ht="14.25" customHeight="1">
      <c r="A333" s="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3"/>
      <c r="S333" s="3"/>
      <c r="T333" s="2"/>
      <c r="U333" s="2"/>
      <c r="V333" s="2"/>
      <c r="W333" s="4"/>
      <c r="X333" s="4"/>
      <c r="Y333" s="4"/>
      <c r="Z333" s="5"/>
      <c r="AA333" s="5"/>
      <c r="AB333" s="5"/>
      <c r="AC333" s="5"/>
      <c r="AD333" s="5"/>
      <c r="AE333" s="5"/>
      <c r="AF333" s="5"/>
      <c r="AG333" s="2"/>
      <c r="AH333" s="2"/>
      <c r="AI333" s="2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ht="14.25" customHeight="1">
      <c r="A334" s="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3"/>
      <c r="S334" s="3"/>
      <c r="T334" s="2"/>
      <c r="U334" s="2"/>
      <c r="V334" s="2"/>
      <c r="W334" s="4"/>
      <c r="X334" s="4"/>
      <c r="Y334" s="4"/>
      <c r="Z334" s="5"/>
      <c r="AA334" s="5"/>
      <c r="AB334" s="5"/>
      <c r="AC334" s="5"/>
      <c r="AD334" s="5"/>
      <c r="AE334" s="5"/>
      <c r="AF334" s="5"/>
      <c r="AG334" s="2"/>
      <c r="AH334" s="2"/>
      <c r="AI334" s="2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ht="14.25" customHeight="1">
      <c r="A335" s="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3"/>
      <c r="S335" s="3"/>
      <c r="T335" s="2"/>
      <c r="U335" s="2"/>
      <c r="V335" s="2"/>
      <c r="W335" s="4"/>
      <c r="X335" s="4"/>
      <c r="Y335" s="4"/>
      <c r="Z335" s="5"/>
      <c r="AA335" s="5"/>
      <c r="AB335" s="5"/>
      <c r="AC335" s="5"/>
      <c r="AD335" s="5"/>
      <c r="AE335" s="5"/>
      <c r="AF335" s="5"/>
      <c r="AG335" s="2"/>
      <c r="AH335" s="2"/>
      <c r="AI335" s="2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ht="14.25" customHeight="1">
      <c r="A336" s="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3"/>
      <c r="S336" s="3"/>
      <c r="T336" s="2"/>
      <c r="U336" s="2"/>
      <c r="V336" s="2"/>
      <c r="W336" s="4"/>
      <c r="X336" s="4"/>
      <c r="Y336" s="4"/>
      <c r="Z336" s="5"/>
      <c r="AA336" s="5"/>
      <c r="AB336" s="5"/>
      <c r="AC336" s="5"/>
      <c r="AD336" s="5"/>
      <c r="AE336" s="5"/>
      <c r="AF336" s="5"/>
      <c r="AG336" s="2"/>
      <c r="AH336" s="2"/>
      <c r="AI336" s="2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ht="14.25" customHeight="1">
      <c r="A337" s="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3"/>
      <c r="S337" s="3"/>
      <c r="T337" s="2"/>
      <c r="U337" s="2"/>
      <c r="V337" s="2"/>
      <c r="W337" s="4"/>
      <c r="X337" s="4"/>
      <c r="Y337" s="4"/>
      <c r="Z337" s="5"/>
      <c r="AA337" s="5"/>
      <c r="AB337" s="5"/>
      <c r="AC337" s="5"/>
      <c r="AD337" s="5"/>
      <c r="AE337" s="5"/>
      <c r="AF337" s="5"/>
      <c r="AG337" s="2"/>
      <c r="AH337" s="2"/>
      <c r="AI337" s="2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ht="14.25" customHeight="1">
      <c r="A338" s="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3"/>
      <c r="S338" s="3"/>
      <c r="T338" s="2"/>
      <c r="U338" s="2"/>
      <c r="V338" s="2"/>
      <c r="W338" s="4"/>
      <c r="X338" s="4"/>
      <c r="Y338" s="4"/>
      <c r="Z338" s="5"/>
      <c r="AA338" s="5"/>
      <c r="AB338" s="5"/>
      <c r="AC338" s="5"/>
      <c r="AD338" s="5"/>
      <c r="AE338" s="5"/>
      <c r="AF338" s="5"/>
      <c r="AG338" s="2"/>
      <c r="AH338" s="2"/>
      <c r="AI338" s="2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ht="14.25" customHeight="1">
      <c r="A339" s="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3"/>
      <c r="S339" s="3"/>
      <c r="T339" s="2"/>
      <c r="U339" s="2"/>
      <c r="V339" s="2"/>
      <c r="W339" s="4"/>
      <c r="X339" s="4"/>
      <c r="Y339" s="4"/>
      <c r="Z339" s="5"/>
      <c r="AA339" s="5"/>
      <c r="AB339" s="5"/>
      <c r="AC339" s="5"/>
      <c r="AD339" s="5"/>
      <c r="AE339" s="5"/>
      <c r="AF339" s="5"/>
      <c r="AG339" s="2"/>
      <c r="AH339" s="2"/>
      <c r="AI339" s="2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ht="14.25" customHeight="1">
      <c r="A340" s="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3"/>
      <c r="S340" s="3"/>
      <c r="T340" s="2"/>
      <c r="U340" s="2"/>
      <c r="V340" s="2"/>
      <c r="W340" s="4"/>
      <c r="X340" s="4"/>
      <c r="Y340" s="4"/>
      <c r="Z340" s="5"/>
      <c r="AA340" s="5"/>
      <c r="AB340" s="5"/>
      <c r="AC340" s="5"/>
      <c r="AD340" s="5"/>
      <c r="AE340" s="5"/>
      <c r="AF340" s="5"/>
      <c r="AG340" s="2"/>
      <c r="AH340" s="2"/>
      <c r="AI340" s="2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ht="14.25" customHeight="1">
      <c r="A341" s="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3"/>
      <c r="S341" s="3"/>
      <c r="T341" s="2"/>
      <c r="U341" s="2"/>
      <c r="V341" s="2"/>
      <c r="W341" s="4"/>
      <c r="X341" s="4"/>
      <c r="Y341" s="4"/>
      <c r="Z341" s="5"/>
      <c r="AA341" s="5"/>
      <c r="AB341" s="5"/>
      <c r="AC341" s="5"/>
      <c r="AD341" s="5"/>
      <c r="AE341" s="5"/>
      <c r="AF341" s="5"/>
      <c r="AG341" s="2"/>
      <c r="AH341" s="2"/>
      <c r="AI341" s="2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ht="14.25" customHeight="1">
      <c r="A342" s="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3"/>
      <c r="S342" s="3"/>
      <c r="T342" s="2"/>
      <c r="U342" s="2"/>
      <c r="V342" s="2"/>
      <c r="W342" s="4"/>
      <c r="X342" s="4"/>
      <c r="Y342" s="4"/>
      <c r="Z342" s="5"/>
      <c r="AA342" s="5"/>
      <c r="AB342" s="5"/>
      <c r="AC342" s="5"/>
      <c r="AD342" s="5"/>
      <c r="AE342" s="5"/>
      <c r="AF342" s="5"/>
      <c r="AG342" s="2"/>
      <c r="AH342" s="2"/>
      <c r="AI342" s="2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ht="14.25" customHeight="1">
      <c r="A343" s="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3"/>
      <c r="S343" s="3"/>
      <c r="T343" s="2"/>
      <c r="U343" s="2"/>
      <c r="V343" s="2"/>
      <c r="W343" s="4"/>
      <c r="X343" s="4"/>
      <c r="Y343" s="4"/>
      <c r="Z343" s="5"/>
      <c r="AA343" s="5"/>
      <c r="AB343" s="5"/>
      <c r="AC343" s="5"/>
      <c r="AD343" s="5"/>
      <c r="AE343" s="5"/>
      <c r="AF343" s="5"/>
      <c r="AG343" s="2"/>
      <c r="AH343" s="2"/>
      <c r="AI343" s="2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ht="14.25" customHeight="1">
      <c r="A344" s="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3"/>
      <c r="S344" s="3"/>
      <c r="T344" s="2"/>
      <c r="U344" s="2"/>
      <c r="V344" s="2"/>
      <c r="W344" s="4"/>
      <c r="X344" s="4"/>
      <c r="Y344" s="4"/>
      <c r="Z344" s="5"/>
      <c r="AA344" s="5"/>
      <c r="AB344" s="5"/>
      <c r="AC344" s="5"/>
      <c r="AD344" s="5"/>
      <c r="AE344" s="5"/>
      <c r="AF344" s="5"/>
      <c r="AG344" s="2"/>
      <c r="AH344" s="2"/>
      <c r="AI344" s="2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ht="14.25" customHeight="1">
      <c r="A345" s="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3"/>
      <c r="S345" s="3"/>
      <c r="T345" s="2"/>
      <c r="U345" s="2"/>
      <c r="V345" s="2"/>
      <c r="W345" s="4"/>
      <c r="X345" s="4"/>
      <c r="Y345" s="4"/>
      <c r="Z345" s="5"/>
      <c r="AA345" s="5"/>
      <c r="AB345" s="5"/>
      <c r="AC345" s="5"/>
      <c r="AD345" s="5"/>
      <c r="AE345" s="5"/>
      <c r="AF345" s="5"/>
      <c r="AG345" s="2"/>
      <c r="AH345" s="2"/>
      <c r="AI345" s="2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ht="14.25" customHeight="1">
      <c r="A346" s="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3"/>
      <c r="S346" s="3"/>
      <c r="T346" s="2"/>
      <c r="U346" s="2"/>
      <c r="V346" s="2"/>
      <c r="W346" s="4"/>
      <c r="X346" s="4"/>
      <c r="Y346" s="4"/>
      <c r="Z346" s="5"/>
      <c r="AA346" s="5"/>
      <c r="AB346" s="5"/>
      <c r="AC346" s="5"/>
      <c r="AD346" s="5"/>
      <c r="AE346" s="5"/>
      <c r="AF346" s="5"/>
      <c r="AG346" s="2"/>
      <c r="AH346" s="2"/>
      <c r="AI346" s="2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ht="14.25" customHeight="1">
      <c r="A347" s="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3"/>
      <c r="S347" s="3"/>
      <c r="T347" s="2"/>
      <c r="U347" s="2"/>
      <c r="V347" s="2"/>
      <c r="W347" s="4"/>
      <c r="X347" s="4"/>
      <c r="Y347" s="4"/>
      <c r="Z347" s="5"/>
      <c r="AA347" s="5"/>
      <c r="AB347" s="5"/>
      <c r="AC347" s="5"/>
      <c r="AD347" s="5"/>
      <c r="AE347" s="5"/>
      <c r="AF347" s="5"/>
      <c r="AG347" s="2"/>
      <c r="AH347" s="2"/>
      <c r="AI347" s="2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ht="14.25" customHeight="1">
      <c r="A348" s="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3"/>
      <c r="S348" s="3"/>
      <c r="T348" s="2"/>
      <c r="U348" s="2"/>
      <c r="V348" s="2"/>
      <c r="W348" s="4"/>
      <c r="X348" s="4"/>
      <c r="Y348" s="4"/>
      <c r="Z348" s="5"/>
      <c r="AA348" s="5"/>
      <c r="AB348" s="5"/>
      <c r="AC348" s="5"/>
      <c r="AD348" s="5"/>
      <c r="AE348" s="5"/>
      <c r="AF348" s="5"/>
      <c r="AG348" s="2"/>
      <c r="AH348" s="2"/>
      <c r="AI348" s="2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ht="14.25" customHeight="1">
      <c r="A349" s="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3"/>
      <c r="S349" s="3"/>
      <c r="T349" s="2"/>
      <c r="U349" s="2"/>
      <c r="V349" s="2"/>
      <c r="W349" s="4"/>
      <c r="X349" s="4"/>
      <c r="Y349" s="4"/>
      <c r="Z349" s="5"/>
      <c r="AA349" s="5"/>
      <c r="AB349" s="5"/>
      <c r="AC349" s="5"/>
      <c r="AD349" s="5"/>
      <c r="AE349" s="5"/>
      <c r="AF349" s="5"/>
      <c r="AG349" s="2"/>
      <c r="AH349" s="2"/>
      <c r="AI349" s="2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ht="14.25" customHeight="1">
      <c r="A350" s="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3"/>
      <c r="S350" s="3"/>
      <c r="T350" s="2"/>
      <c r="U350" s="2"/>
      <c r="V350" s="2"/>
      <c r="W350" s="4"/>
      <c r="X350" s="4"/>
      <c r="Y350" s="4"/>
      <c r="Z350" s="5"/>
      <c r="AA350" s="5"/>
      <c r="AB350" s="5"/>
      <c r="AC350" s="5"/>
      <c r="AD350" s="5"/>
      <c r="AE350" s="5"/>
      <c r="AF350" s="5"/>
      <c r="AG350" s="2"/>
      <c r="AH350" s="2"/>
      <c r="AI350" s="2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ht="14.25" customHeight="1">
      <c r="A351" s="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3"/>
      <c r="S351" s="3"/>
      <c r="T351" s="2"/>
      <c r="U351" s="2"/>
      <c r="V351" s="2"/>
      <c r="W351" s="4"/>
      <c r="X351" s="4"/>
      <c r="Y351" s="4"/>
      <c r="Z351" s="5"/>
      <c r="AA351" s="5"/>
      <c r="AB351" s="5"/>
      <c r="AC351" s="5"/>
      <c r="AD351" s="5"/>
      <c r="AE351" s="5"/>
      <c r="AF351" s="5"/>
      <c r="AG351" s="2"/>
      <c r="AH351" s="2"/>
      <c r="AI351" s="2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ht="14.25" customHeight="1">
      <c r="A352" s="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3"/>
      <c r="S352" s="3"/>
      <c r="T352" s="2"/>
      <c r="U352" s="2"/>
      <c r="V352" s="2"/>
      <c r="W352" s="4"/>
      <c r="X352" s="4"/>
      <c r="Y352" s="4"/>
      <c r="Z352" s="5"/>
      <c r="AA352" s="5"/>
      <c r="AB352" s="5"/>
      <c r="AC352" s="5"/>
      <c r="AD352" s="5"/>
      <c r="AE352" s="5"/>
      <c r="AF352" s="5"/>
      <c r="AG352" s="2"/>
      <c r="AH352" s="2"/>
      <c r="AI352" s="2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ht="14.25" customHeight="1">
      <c r="A353" s="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3"/>
      <c r="S353" s="3"/>
      <c r="T353" s="2"/>
      <c r="U353" s="2"/>
      <c r="V353" s="2"/>
      <c r="W353" s="4"/>
      <c r="X353" s="4"/>
      <c r="Y353" s="4"/>
      <c r="Z353" s="5"/>
      <c r="AA353" s="5"/>
      <c r="AB353" s="5"/>
      <c r="AC353" s="5"/>
      <c r="AD353" s="5"/>
      <c r="AE353" s="5"/>
      <c r="AF353" s="5"/>
      <c r="AG353" s="2"/>
      <c r="AH353" s="2"/>
      <c r="AI353" s="2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ht="14.25" customHeight="1">
      <c r="A354" s="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3"/>
      <c r="S354" s="3"/>
      <c r="T354" s="2"/>
      <c r="U354" s="2"/>
      <c r="V354" s="2"/>
      <c r="W354" s="4"/>
      <c r="X354" s="4"/>
      <c r="Y354" s="4"/>
      <c r="Z354" s="5"/>
      <c r="AA354" s="5"/>
      <c r="AB354" s="5"/>
      <c r="AC354" s="5"/>
      <c r="AD354" s="5"/>
      <c r="AE354" s="5"/>
      <c r="AF354" s="5"/>
      <c r="AG354" s="2"/>
      <c r="AH354" s="2"/>
      <c r="AI354" s="2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ht="14.25" customHeight="1">
      <c r="A355" s="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3"/>
      <c r="S355" s="3"/>
      <c r="T355" s="2"/>
      <c r="U355" s="2"/>
      <c r="V355" s="2"/>
      <c r="W355" s="4"/>
      <c r="X355" s="4"/>
      <c r="Y355" s="4"/>
      <c r="Z355" s="5"/>
      <c r="AA355" s="5"/>
      <c r="AB355" s="5"/>
      <c r="AC355" s="5"/>
      <c r="AD355" s="5"/>
      <c r="AE355" s="5"/>
      <c r="AF355" s="5"/>
      <c r="AG355" s="2"/>
      <c r="AH355" s="2"/>
      <c r="AI355" s="2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ht="14.25" customHeight="1">
      <c r="A356" s="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3"/>
      <c r="S356" s="3"/>
      <c r="T356" s="2"/>
      <c r="U356" s="2"/>
      <c r="V356" s="2"/>
      <c r="W356" s="4"/>
      <c r="X356" s="4"/>
      <c r="Y356" s="4"/>
      <c r="Z356" s="5"/>
      <c r="AA356" s="5"/>
      <c r="AB356" s="5"/>
      <c r="AC356" s="5"/>
      <c r="AD356" s="5"/>
      <c r="AE356" s="5"/>
      <c r="AF356" s="5"/>
      <c r="AG356" s="2"/>
      <c r="AH356" s="2"/>
      <c r="AI356" s="2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ht="14.25" customHeight="1">
      <c r="A357" s="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3"/>
      <c r="S357" s="3"/>
      <c r="T357" s="2"/>
      <c r="U357" s="2"/>
      <c r="V357" s="2"/>
      <c r="W357" s="4"/>
      <c r="X357" s="4"/>
      <c r="Y357" s="4"/>
      <c r="Z357" s="5"/>
      <c r="AA357" s="5"/>
      <c r="AB357" s="5"/>
      <c r="AC357" s="5"/>
      <c r="AD357" s="5"/>
      <c r="AE357" s="5"/>
      <c r="AF357" s="5"/>
      <c r="AG357" s="2"/>
      <c r="AH357" s="2"/>
      <c r="AI357" s="2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ht="14.25" customHeight="1">
      <c r="A358" s="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3"/>
      <c r="S358" s="3"/>
      <c r="T358" s="2"/>
      <c r="U358" s="2"/>
      <c r="V358" s="2"/>
      <c r="W358" s="4"/>
      <c r="X358" s="4"/>
      <c r="Y358" s="4"/>
      <c r="Z358" s="5"/>
      <c r="AA358" s="5"/>
      <c r="AB358" s="5"/>
      <c r="AC358" s="5"/>
      <c r="AD358" s="5"/>
      <c r="AE358" s="5"/>
      <c r="AF358" s="5"/>
      <c r="AG358" s="2"/>
      <c r="AH358" s="2"/>
      <c r="AI358" s="2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ht="14.25" customHeight="1">
      <c r="A359" s="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3"/>
      <c r="S359" s="3"/>
      <c r="T359" s="2"/>
      <c r="U359" s="2"/>
      <c r="V359" s="2"/>
      <c r="W359" s="4"/>
      <c r="X359" s="4"/>
      <c r="Y359" s="4"/>
      <c r="Z359" s="5"/>
      <c r="AA359" s="5"/>
      <c r="AB359" s="5"/>
      <c r="AC359" s="5"/>
      <c r="AD359" s="5"/>
      <c r="AE359" s="5"/>
      <c r="AF359" s="5"/>
      <c r="AG359" s="2"/>
      <c r="AH359" s="2"/>
      <c r="AI359" s="2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ht="14.25" customHeight="1">
      <c r="A360" s="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3"/>
      <c r="S360" s="3"/>
      <c r="T360" s="2"/>
      <c r="U360" s="2"/>
      <c r="V360" s="2"/>
      <c r="W360" s="4"/>
      <c r="X360" s="4"/>
      <c r="Y360" s="4"/>
      <c r="Z360" s="5"/>
      <c r="AA360" s="5"/>
      <c r="AB360" s="5"/>
      <c r="AC360" s="5"/>
      <c r="AD360" s="5"/>
      <c r="AE360" s="5"/>
      <c r="AF360" s="5"/>
      <c r="AG360" s="2"/>
      <c r="AH360" s="2"/>
      <c r="AI360" s="2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ht="14.25" customHeight="1">
      <c r="A361" s="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3"/>
      <c r="S361" s="3"/>
      <c r="T361" s="2"/>
      <c r="U361" s="2"/>
      <c r="V361" s="2"/>
      <c r="W361" s="4"/>
      <c r="X361" s="4"/>
      <c r="Y361" s="4"/>
      <c r="Z361" s="5"/>
      <c r="AA361" s="5"/>
      <c r="AB361" s="5"/>
      <c r="AC361" s="5"/>
      <c r="AD361" s="5"/>
      <c r="AE361" s="5"/>
      <c r="AF361" s="5"/>
      <c r="AG361" s="2"/>
      <c r="AH361" s="2"/>
      <c r="AI361" s="2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ht="14.25" customHeight="1">
      <c r="A362" s="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3"/>
      <c r="S362" s="3"/>
      <c r="T362" s="2"/>
      <c r="U362" s="2"/>
      <c r="V362" s="2"/>
      <c r="W362" s="4"/>
      <c r="X362" s="4"/>
      <c r="Y362" s="4"/>
      <c r="Z362" s="5"/>
      <c r="AA362" s="5"/>
      <c r="AB362" s="5"/>
      <c r="AC362" s="5"/>
      <c r="AD362" s="5"/>
      <c r="AE362" s="5"/>
      <c r="AF362" s="5"/>
      <c r="AG362" s="2"/>
      <c r="AH362" s="2"/>
      <c r="AI362" s="2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ht="14.25" customHeight="1">
      <c r="A363" s="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3"/>
      <c r="S363" s="3"/>
      <c r="T363" s="2"/>
      <c r="U363" s="2"/>
      <c r="V363" s="2"/>
      <c r="W363" s="4"/>
      <c r="X363" s="4"/>
      <c r="Y363" s="4"/>
      <c r="Z363" s="5"/>
      <c r="AA363" s="5"/>
      <c r="AB363" s="5"/>
      <c r="AC363" s="5"/>
      <c r="AD363" s="5"/>
      <c r="AE363" s="5"/>
      <c r="AF363" s="5"/>
      <c r="AG363" s="2"/>
      <c r="AH363" s="2"/>
      <c r="AI363" s="2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ht="14.25" customHeight="1">
      <c r="A364" s="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3"/>
      <c r="S364" s="3"/>
      <c r="T364" s="2"/>
      <c r="U364" s="2"/>
      <c r="V364" s="2"/>
      <c r="W364" s="4"/>
      <c r="X364" s="4"/>
      <c r="Y364" s="4"/>
      <c r="Z364" s="5"/>
      <c r="AA364" s="5"/>
      <c r="AB364" s="5"/>
      <c r="AC364" s="5"/>
      <c r="AD364" s="5"/>
      <c r="AE364" s="5"/>
      <c r="AF364" s="5"/>
      <c r="AG364" s="2"/>
      <c r="AH364" s="2"/>
      <c r="AI364" s="2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ht="14.25" customHeight="1">
      <c r="A365" s="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3"/>
      <c r="S365" s="3"/>
      <c r="T365" s="2"/>
      <c r="U365" s="2"/>
      <c r="V365" s="2"/>
      <c r="W365" s="4"/>
      <c r="X365" s="4"/>
      <c r="Y365" s="4"/>
      <c r="Z365" s="5"/>
      <c r="AA365" s="5"/>
      <c r="AB365" s="5"/>
      <c r="AC365" s="5"/>
      <c r="AD365" s="5"/>
      <c r="AE365" s="5"/>
      <c r="AF365" s="5"/>
      <c r="AG365" s="2"/>
      <c r="AH365" s="2"/>
      <c r="AI365" s="2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ht="14.25" customHeight="1">
      <c r="A366" s="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3"/>
      <c r="S366" s="3"/>
      <c r="T366" s="2"/>
      <c r="U366" s="2"/>
      <c r="V366" s="2"/>
      <c r="W366" s="4"/>
      <c r="X366" s="4"/>
      <c r="Y366" s="4"/>
      <c r="Z366" s="5"/>
      <c r="AA366" s="5"/>
      <c r="AB366" s="5"/>
      <c r="AC366" s="5"/>
      <c r="AD366" s="5"/>
      <c r="AE366" s="5"/>
      <c r="AF366" s="5"/>
      <c r="AG366" s="2"/>
      <c r="AH366" s="2"/>
      <c r="AI366" s="2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ht="14.25" customHeight="1">
      <c r="A367" s="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3"/>
      <c r="S367" s="3"/>
      <c r="T367" s="2"/>
      <c r="U367" s="2"/>
      <c r="V367" s="2"/>
      <c r="W367" s="4"/>
      <c r="X367" s="4"/>
      <c r="Y367" s="4"/>
      <c r="Z367" s="5"/>
      <c r="AA367" s="5"/>
      <c r="AB367" s="5"/>
      <c r="AC367" s="5"/>
      <c r="AD367" s="5"/>
      <c r="AE367" s="5"/>
      <c r="AF367" s="5"/>
      <c r="AG367" s="2"/>
      <c r="AH367" s="2"/>
      <c r="AI367" s="2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ht="14.25" customHeight="1">
      <c r="A368" s="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3"/>
      <c r="S368" s="3"/>
      <c r="T368" s="2"/>
      <c r="U368" s="2"/>
      <c r="V368" s="2"/>
      <c r="W368" s="4"/>
      <c r="X368" s="4"/>
      <c r="Y368" s="4"/>
      <c r="Z368" s="5"/>
      <c r="AA368" s="5"/>
      <c r="AB368" s="5"/>
      <c r="AC368" s="5"/>
      <c r="AD368" s="5"/>
      <c r="AE368" s="5"/>
      <c r="AF368" s="5"/>
      <c r="AG368" s="2"/>
      <c r="AH368" s="2"/>
      <c r="AI368" s="2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ht="14.25" customHeight="1">
      <c r="A369" s="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3"/>
      <c r="S369" s="3"/>
      <c r="T369" s="2"/>
      <c r="U369" s="2"/>
      <c r="V369" s="2"/>
      <c r="W369" s="4"/>
      <c r="X369" s="4"/>
      <c r="Y369" s="4"/>
      <c r="Z369" s="5"/>
      <c r="AA369" s="5"/>
      <c r="AB369" s="5"/>
      <c r="AC369" s="5"/>
      <c r="AD369" s="5"/>
      <c r="AE369" s="5"/>
      <c r="AF369" s="5"/>
      <c r="AG369" s="2"/>
      <c r="AH369" s="2"/>
      <c r="AI369" s="2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ht="14.25" customHeight="1">
      <c r="A370" s="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3"/>
      <c r="S370" s="3"/>
      <c r="T370" s="2"/>
      <c r="U370" s="2"/>
      <c r="V370" s="2"/>
      <c r="W370" s="4"/>
      <c r="X370" s="4"/>
      <c r="Y370" s="4"/>
      <c r="Z370" s="5"/>
      <c r="AA370" s="5"/>
      <c r="AB370" s="5"/>
      <c r="AC370" s="5"/>
      <c r="AD370" s="5"/>
      <c r="AE370" s="5"/>
      <c r="AF370" s="5"/>
      <c r="AG370" s="2"/>
      <c r="AH370" s="2"/>
      <c r="AI370" s="2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ht="14.25" customHeight="1">
      <c r="A371" s="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3"/>
      <c r="S371" s="3"/>
      <c r="T371" s="2"/>
      <c r="U371" s="2"/>
      <c r="V371" s="2"/>
      <c r="W371" s="4"/>
      <c r="X371" s="4"/>
      <c r="Y371" s="4"/>
      <c r="Z371" s="5"/>
      <c r="AA371" s="5"/>
      <c r="AB371" s="5"/>
      <c r="AC371" s="5"/>
      <c r="AD371" s="5"/>
      <c r="AE371" s="5"/>
      <c r="AF371" s="5"/>
      <c r="AG371" s="2"/>
      <c r="AH371" s="2"/>
      <c r="AI371" s="2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ht="14.25" customHeight="1">
      <c r="A372" s="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3"/>
      <c r="S372" s="3"/>
      <c r="T372" s="2"/>
      <c r="U372" s="2"/>
      <c r="V372" s="2"/>
      <c r="W372" s="4"/>
      <c r="X372" s="4"/>
      <c r="Y372" s="4"/>
      <c r="Z372" s="5"/>
      <c r="AA372" s="5"/>
      <c r="AB372" s="5"/>
      <c r="AC372" s="5"/>
      <c r="AD372" s="5"/>
      <c r="AE372" s="5"/>
      <c r="AF372" s="5"/>
      <c r="AG372" s="2"/>
      <c r="AH372" s="2"/>
      <c r="AI372" s="2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ht="14.25" customHeight="1">
      <c r="A373" s="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3"/>
      <c r="S373" s="3"/>
      <c r="T373" s="2"/>
      <c r="U373" s="2"/>
      <c r="V373" s="2"/>
      <c r="W373" s="4"/>
      <c r="X373" s="4"/>
      <c r="Y373" s="4"/>
      <c r="Z373" s="5"/>
      <c r="AA373" s="5"/>
      <c r="AB373" s="5"/>
      <c r="AC373" s="5"/>
      <c r="AD373" s="5"/>
      <c r="AE373" s="5"/>
      <c r="AF373" s="5"/>
      <c r="AG373" s="2"/>
      <c r="AH373" s="2"/>
      <c r="AI373" s="2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ht="14.25" customHeight="1">
      <c r="A374" s="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3"/>
      <c r="S374" s="3"/>
      <c r="T374" s="2"/>
      <c r="U374" s="2"/>
      <c r="V374" s="2"/>
      <c r="W374" s="4"/>
      <c r="X374" s="4"/>
      <c r="Y374" s="4"/>
      <c r="Z374" s="5"/>
      <c r="AA374" s="5"/>
      <c r="AB374" s="5"/>
      <c r="AC374" s="5"/>
      <c r="AD374" s="5"/>
      <c r="AE374" s="5"/>
      <c r="AF374" s="5"/>
      <c r="AG374" s="2"/>
      <c r="AH374" s="2"/>
      <c r="AI374" s="2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ht="14.25" customHeight="1">
      <c r="A375" s="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3"/>
      <c r="S375" s="3"/>
      <c r="T375" s="2"/>
      <c r="U375" s="2"/>
      <c r="V375" s="2"/>
      <c r="W375" s="4"/>
      <c r="X375" s="4"/>
      <c r="Y375" s="4"/>
      <c r="Z375" s="5"/>
      <c r="AA375" s="5"/>
      <c r="AB375" s="5"/>
      <c r="AC375" s="5"/>
      <c r="AD375" s="5"/>
      <c r="AE375" s="5"/>
      <c r="AF375" s="5"/>
      <c r="AG375" s="2"/>
      <c r="AH375" s="2"/>
      <c r="AI375" s="2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ht="14.25" customHeight="1">
      <c r="A376" s="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3"/>
      <c r="S376" s="3"/>
      <c r="T376" s="2"/>
      <c r="U376" s="2"/>
      <c r="V376" s="2"/>
      <c r="W376" s="4"/>
      <c r="X376" s="4"/>
      <c r="Y376" s="4"/>
      <c r="Z376" s="5"/>
      <c r="AA376" s="5"/>
      <c r="AB376" s="5"/>
      <c r="AC376" s="5"/>
      <c r="AD376" s="5"/>
      <c r="AE376" s="5"/>
      <c r="AF376" s="5"/>
      <c r="AG376" s="2"/>
      <c r="AH376" s="2"/>
      <c r="AI376" s="2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ht="14.25" customHeight="1">
      <c r="A377" s="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3"/>
      <c r="S377" s="3"/>
      <c r="T377" s="2"/>
      <c r="U377" s="2"/>
      <c r="V377" s="2"/>
      <c r="W377" s="4"/>
      <c r="X377" s="4"/>
      <c r="Y377" s="4"/>
      <c r="Z377" s="5"/>
      <c r="AA377" s="5"/>
      <c r="AB377" s="5"/>
      <c r="AC377" s="5"/>
      <c r="AD377" s="5"/>
      <c r="AE377" s="5"/>
      <c r="AF377" s="5"/>
      <c r="AG377" s="2"/>
      <c r="AH377" s="2"/>
      <c r="AI377" s="2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ht="14.25" customHeight="1">
      <c r="A378" s="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3"/>
      <c r="S378" s="3"/>
      <c r="T378" s="2"/>
      <c r="U378" s="2"/>
      <c r="V378" s="2"/>
      <c r="W378" s="4"/>
      <c r="X378" s="4"/>
      <c r="Y378" s="4"/>
      <c r="Z378" s="5"/>
      <c r="AA378" s="5"/>
      <c r="AB378" s="5"/>
      <c r="AC378" s="5"/>
      <c r="AD378" s="5"/>
      <c r="AE378" s="5"/>
      <c r="AF378" s="5"/>
      <c r="AG378" s="2"/>
      <c r="AH378" s="2"/>
      <c r="AI378" s="2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ht="14.25" customHeight="1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3"/>
      <c r="S379" s="3"/>
      <c r="T379" s="2"/>
      <c r="U379" s="2"/>
      <c r="V379" s="2"/>
      <c r="W379" s="4"/>
      <c r="X379" s="4"/>
      <c r="Y379" s="4"/>
      <c r="Z379" s="5"/>
      <c r="AA379" s="5"/>
      <c r="AB379" s="5"/>
      <c r="AC379" s="5"/>
      <c r="AD379" s="5"/>
      <c r="AE379" s="5"/>
      <c r="AF379" s="5"/>
      <c r="AG379" s="2"/>
      <c r="AH379" s="2"/>
      <c r="AI379" s="2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ht="14.25" customHeight="1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3"/>
      <c r="S380" s="3"/>
      <c r="T380" s="2"/>
      <c r="U380" s="2"/>
      <c r="V380" s="2"/>
      <c r="W380" s="4"/>
      <c r="X380" s="4"/>
      <c r="Y380" s="4"/>
      <c r="Z380" s="5"/>
      <c r="AA380" s="5"/>
      <c r="AB380" s="5"/>
      <c r="AC380" s="5"/>
      <c r="AD380" s="5"/>
      <c r="AE380" s="5"/>
      <c r="AF380" s="5"/>
      <c r="AG380" s="2"/>
      <c r="AH380" s="2"/>
      <c r="AI380" s="2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ht="14.25" customHeight="1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3"/>
      <c r="S381" s="3"/>
      <c r="T381" s="2"/>
      <c r="U381" s="2"/>
      <c r="V381" s="2"/>
      <c r="W381" s="4"/>
      <c r="X381" s="4"/>
      <c r="Y381" s="4"/>
      <c r="Z381" s="5"/>
      <c r="AA381" s="5"/>
      <c r="AB381" s="5"/>
      <c r="AC381" s="5"/>
      <c r="AD381" s="5"/>
      <c r="AE381" s="5"/>
      <c r="AF381" s="5"/>
      <c r="AG381" s="2"/>
      <c r="AH381" s="2"/>
      <c r="AI381" s="2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ht="14.25" customHeight="1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3"/>
      <c r="S382" s="3"/>
      <c r="T382" s="2"/>
      <c r="U382" s="2"/>
      <c r="V382" s="2"/>
      <c r="W382" s="4"/>
      <c r="X382" s="4"/>
      <c r="Y382" s="4"/>
      <c r="Z382" s="5"/>
      <c r="AA382" s="5"/>
      <c r="AB382" s="5"/>
      <c r="AC382" s="5"/>
      <c r="AD382" s="5"/>
      <c r="AE382" s="5"/>
      <c r="AF382" s="5"/>
      <c r="AG382" s="2"/>
      <c r="AH382" s="2"/>
      <c r="AI382" s="2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ht="14.25" customHeight="1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3"/>
      <c r="S383" s="3"/>
      <c r="T383" s="2"/>
      <c r="U383" s="2"/>
      <c r="V383" s="2"/>
      <c r="W383" s="4"/>
      <c r="X383" s="4"/>
      <c r="Y383" s="4"/>
      <c r="Z383" s="5"/>
      <c r="AA383" s="5"/>
      <c r="AB383" s="5"/>
      <c r="AC383" s="5"/>
      <c r="AD383" s="5"/>
      <c r="AE383" s="5"/>
      <c r="AF383" s="5"/>
      <c r="AG383" s="2"/>
      <c r="AH383" s="2"/>
      <c r="AI383" s="2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ht="14.25" customHeight="1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3"/>
      <c r="S384" s="3"/>
      <c r="T384" s="2"/>
      <c r="U384" s="2"/>
      <c r="V384" s="2"/>
      <c r="W384" s="4"/>
      <c r="X384" s="4"/>
      <c r="Y384" s="4"/>
      <c r="Z384" s="5"/>
      <c r="AA384" s="5"/>
      <c r="AB384" s="5"/>
      <c r="AC384" s="5"/>
      <c r="AD384" s="5"/>
      <c r="AE384" s="5"/>
      <c r="AF384" s="5"/>
      <c r="AG384" s="2"/>
      <c r="AH384" s="2"/>
      <c r="AI384" s="2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ht="14.25" customHeight="1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3"/>
      <c r="S385" s="3"/>
      <c r="T385" s="2"/>
      <c r="U385" s="2"/>
      <c r="V385" s="2"/>
      <c r="W385" s="4"/>
      <c r="X385" s="4"/>
      <c r="Y385" s="4"/>
      <c r="Z385" s="5"/>
      <c r="AA385" s="5"/>
      <c r="AB385" s="5"/>
      <c r="AC385" s="5"/>
      <c r="AD385" s="5"/>
      <c r="AE385" s="5"/>
      <c r="AF385" s="5"/>
      <c r="AG385" s="2"/>
      <c r="AH385" s="2"/>
      <c r="AI385" s="2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ht="14.25" customHeight="1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3"/>
      <c r="S386" s="3"/>
      <c r="T386" s="2"/>
      <c r="U386" s="2"/>
      <c r="V386" s="2"/>
      <c r="W386" s="4"/>
      <c r="X386" s="4"/>
      <c r="Y386" s="4"/>
      <c r="Z386" s="5"/>
      <c r="AA386" s="5"/>
      <c r="AB386" s="5"/>
      <c r="AC386" s="5"/>
      <c r="AD386" s="5"/>
      <c r="AE386" s="5"/>
      <c r="AF386" s="5"/>
      <c r="AG386" s="2"/>
      <c r="AH386" s="2"/>
      <c r="AI386" s="2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ht="14.25" customHeight="1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3"/>
      <c r="S387" s="3"/>
      <c r="T387" s="2"/>
      <c r="U387" s="2"/>
      <c r="V387" s="2"/>
      <c r="W387" s="4"/>
      <c r="X387" s="4"/>
      <c r="Y387" s="4"/>
      <c r="Z387" s="5"/>
      <c r="AA387" s="5"/>
      <c r="AB387" s="5"/>
      <c r="AC387" s="5"/>
      <c r="AD387" s="5"/>
      <c r="AE387" s="5"/>
      <c r="AF387" s="5"/>
      <c r="AG387" s="2"/>
      <c r="AH387" s="2"/>
      <c r="AI387" s="2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ht="14.25" customHeight="1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3"/>
      <c r="S388" s="3"/>
      <c r="T388" s="2"/>
      <c r="U388" s="2"/>
      <c r="V388" s="2"/>
      <c r="W388" s="4"/>
      <c r="X388" s="4"/>
      <c r="Y388" s="4"/>
      <c r="Z388" s="5"/>
      <c r="AA388" s="5"/>
      <c r="AB388" s="5"/>
      <c r="AC388" s="5"/>
      <c r="AD388" s="5"/>
      <c r="AE388" s="5"/>
      <c r="AF388" s="5"/>
      <c r="AG388" s="2"/>
      <c r="AH388" s="2"/>
      <c r="AI388" s="2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ht="14.25" customHeight="1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3"/>
      <c r="S389" s="3"/>
      <c r="T389" s="2"/>
      <c r="U389" s="2"/>
      <c r="V389" s="2"/>
      <c r="W389" s="4"/>
      <c r="X389" s="4"/>
      <c r="Y389" s="4"/>
      <c r="Z389" s="5"/>
      <c r="AA389" s="5"/>
      <c r="AB389" s="5"/>
      <c r="AC389" s="5"/>
      <c r="AD389" s="5"/>
      <c r="AE389" s="5"/>
      <c r="AF389" s="5"/>
      <c r="AG389" s="2"/>
      <c r="AH389" s="2"/>
      <c r="AI389" s="2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ht="14.25" customHeight="1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3"/>
      <c r="S390" s="3"/>
      <c r="T390" s="2"/>
      <c r="U390" s="2"/>
      <c r="V390" s="2"/>
      <c r="W390" s="4"/>
      <c r="X390" s="4"/>
      <c r="Y390" s="4"/>
      <c r="Z390" s="5"/>
      <c r="AA390" s="5"/>
      <c r="AB390" s="5"/>
      <c r="AC390" s="5"/>
      <c r="AD390" s="5"/>
      <c r="AE390" s="5"/>
      <c r="AF390" s="5"/>
      <c r="AG390" s="2"/>
      <c r="AH390" s="2"/>
      <c r="AI390" s="2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ht="14.25" customHeight="1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3"/>
      <c r="S391" s="3"/>
      <c r="T391" s="2"/>
      <c r="U391" s="2"/>
      <c r="V391" s="2"/>
      <c r="W391" s="4"/>
      <c r="X391" s="4"/>
      <c r="Y391" s="4"/>
      <c r="Z391" s="5"/>
      <c r="AA391" s="5"/>
      <c r="AB391" s="5"/>
      <c r="AC391" s="5"/>
      <c r="AD391" s="5"/>
      <c r="AE391" s="5"/>
      <c r="AF391" s="5"/>
      <c r="AG391" s="2"/>
      <c r="AH391" s="2"/>
      <c r="AI391" s="2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ht="14.25" customHeight="1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3"/>
      <c r="S392" s="3"/>
      <c r="T392" s="2"/>
      <c r="U392" s="2"/>
      <c r="V392" s="2"/>
      <c r="W392" s="4"/>
      <c r="X392" s="4"/>
      <c r="Y392" s="4"/>
      <c r="Z392" s="5"/>
      <c r="AA392" s="5"/>
      <c r="AB392" s="5"/>
      <c r="AC392" s="5"/>
      <c r="AD392" s="5"/>
      <c r="AE392" s="5"/>
      <c r="AF392" s="5"/>
      <c r="AG392" s="2"/>
      <c r="AH392" s="2"/>
      <c r="AI392" s="2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ht="14.25" customHeight="1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3"/>
      <c r="S393" s="3"/>
      <c r="T393" s="2"/>
      <c r="U393" s="2"/>
      <c r="V393" s="2"/>
      <c r="W393" s="4"/>
      <c r="X393" s="4"/>
      <c r="Y393" s="4"/>
      <c r="Z393" s="5"/>
      <c r="AA393" s="5"/>
      <c r="AB393" s="5"/>
      <c r="AC393" s="5"/>
      <c r="AD393" s="5"/>
      <c r="AE393" s="5"/>
      <c r="AF393" s="5"/>
      <c r="AG393" s="2"/>
      <c r="AH393" s="2"/>
      <c r="AI393" s="2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ht="14.25" customHeight="1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3"/>
      <c r="S394" s="3"/>
      <c r="T394" s="2"/>
      <c r="U394" s="2"/>
      <c r="V394" s="2"/>
      <c r="W394" s="4"/>
      <c r="X394" s="4"/>
      <c r="Y394" s="4"/>
      <c r="Z394" s="5"/>
      <c r="AA394" s="5"/>
      <c r="AB394" s="5"/>
      <c r="AC394" s="5"/>
      <c r="AD394" s="5"/>
      <c r="AE394" s="5"/>
      <c r="AF394" s="5"/>
      <c r="AG394" s="2"/>
      <c r="AH394" s="2"/>
      <c r="AI394" s="2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ht="14.25" customHeight="1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3"/>
      <c r="S395" s="3"/>
      <c r="T395" s="2"/>
      <c r="U395" s="2"/>
      <c r="V395" s="2"/>
      <c r="W395" s="4"/>
      <c r="X395" s="4"/>
      <c r="Y395" s="4"/>
      <c r="Z395" s="5"/>
      <c r="AA395" s="5"/>
      <c r="AB395" s="5"/>
      <c r="AC395" s="5"/>
      <c r="AD395" s="5"/>
      <c r="AE395" s="5"/>
      <c r="AF395" s="5"/>
      <c r="AG395" s="2"/>
      <c r="AH395" s="2"/>
      <c r="AI395" s="2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ht="14.25" customHeight="1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3"/>
      <c r="S396" s="3"/>
      <c r="T396" s="2"/>
      <c r="U396" s="2"/>
      <c r="V396" s="2"/>
      <c r="W396" s="4"/>
      <c r="X396" s="4"/>
      <c r="Y396" s="4"/>
      <c r="Z396" s="5"/>
      <c r="AA396" s="5"/>
      <c r="AB396" s="5"/>
      <c r="AC396" s="5"/>
      <c r="AD396" s="5"/>
      <c r="AE396" s="5"/>
      <c r="AF396" s="5"/>
      <c r="AG396" s="2"/>
      <c r="AH396" s="2"/>
      <c r="AI396" s="2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ht="14.25" customHeight="1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3"/>
      <c r="S397" s="3"/>
      <c r="T397" s="2"/>
      <c r="U397" s="2"/>
      <c r="V397" s="2"/>
      <c r="W397" s="4"/>
      <c r="X397" s="4"/>
      <c r="Y397" s="4"/>
      <c r="Z397" s="5"/>
      <c r="AA397" s="5"/>
      <c r="AB397" s="5"/>
      <c r="AC397" s="5"/>
      <c r="AD397" s="5"/>
      <c r="AE397" s="5"/>
      <c r="AF397" s="5"/>
      <c r="AG397" s="2"/>
      <c r="AH397" s="2"/>
      <c r="AI397" s="2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ht="14.25" customHeight="1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3"/>
      <c r="S398" s="3"/>
      <c r="T398" s="2"/>
      <c r="U398" s="2"/>
      <c r="V398" s="2"/>
      <c r="W398" s="4"/>
      <c r="X398" s="4"/>
      <c r="Y398" s="4"/>
      <c r="Z398" s="5"/>
      <c r="AA398" s="5"/>
      <c r="AB398" s="5"/>
      <c r="AC398" s="5"/>
      <c r="AD398" s="5"/>
      <c r="AE398" s="5"/>
      <c r="AF398" s="5"/>
      <c r="AG398" s="2"/>
      <c r="AH398" s="2"/>
      <c r="AI398" s="2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ht="14.25" customHeight="1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3"/>
      <c r="S399" s="3"/>
      <c r="T399" s="2"/>
      <c r="U399" s="2"/>
      <c r="V399" s="2"/>
      <c r="W399" s="4"/>
      <c r="X399" s="4"/>
      <c r="Y399" s="4"/>
      <c r="Z399" s="5"/>
      <c r="AA399" s="5"/>
      <c r="AB399" s="5"/>
      <c r="AC399" s="5"/>
      <c r="AD399" s="5"/>
      <c r="AE399" s="5"/>
      <c r="AF399" s="5"/>
      <c r="AG399" s="2"/>
      <c r="AH399" s="2"/>
      <c r="AI399" s="2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ht="14.25" customHeight="1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3"/>
      <c r="S400" s="3"/>
      <c r="T400" s="2"/>
      <c r="U400" s="2"/>
      <c r="V400" s="2"/>
      <c r="W400" s="4"/>
      <c r="X400" s="4"/>
      <c r="Y400" s="4"/>
      <c r="Z400" s="5"/>
      <c r="AA400" s="5"/>
      <c r="AB400" s="5"/>
      <c r="AC400" s="5"/>
      <c r="AD400" s="5"/>
      <c r="AE400" s="5"/>
      <c r="AF400" s="5"/>
      <c r="AG400" s="2"/>
      <c r="AH400" s="2"/>
      <c r="AI400" s="2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ht="14.25" customHeight="1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3"/>
      <c r="S401" s="3"/>
      <c r="T401" s="2"/>
      <c r="U401" s="2"/>
      <c r="V401" s="2"/>
      <c r="W401" s="4"/>
      <c r="X401" s="4"/>
      <c r="Y401" s="4"/>
      <c r="Z401" s="5"/>
      <c r="AA401" s="5"/>
      <c r="AB401" s="5"/>
      <c r="AC401" s="5"/>
      <c r="AD401" s="5"/>
      <c r="AE401" s="5"/>
      <c r="AF401" s="5"/>
      <c r="AG401" s="2"/>
      <c r="AH401" s="2"/>
      <c r="AI401" s="2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ht="14.25" customHeight="1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3"/>
      <c r="S402" s="3"/>
      <c r="T402" s="2"/>
      <c r="U402" s="2"/>
      <c r="V402" s="2"/>
      <c r="W402" s="4"/>
      <c r="X402" s="4"/>
      <c r="Y402" s="4"/>
      <c r="Z402" s="5"/>
      <c r="AA402" s="5"/>
      <c r="AB402" s="5"/>
      <c r="AC402" s="5"/>
      <c r="AD402" s="5"/>
      <c r="AE402" s="5"/>
      <c r="AF402" s="5"/>
      <c r="AG402" s="2"/>
      <c r="AH402" s="2"/>
      <c r="AI402" s="2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ht="14.25" customHeight="1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3"/>
      <c r="S403" s="3"/>
      <c r="T403" s="2"/>
      <c r="U403" s="2"/>
      <c r="V403" s="2"/>
      <c r="W403" s="4"/>
      <c r="X403" s="4"/>
      <c r="Y403" s="4"/>
      <c r="Z403" s="5"/>
      <c r="AA403" s="5"/>
      <c r="AB403" s="5"/>
      <c r="AC403" s="5"/>
      <c r="AD403" s="5"/>
      <c r="AE403" s="5"/>
      <c r="AF403" s="5"/>
      <c r="AG403" s="2"/>
      <c r="AH403" s="2"/>
      <c r="AI403" s="2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ht="14.25" customHeight="1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3"/>
      <c r="S404" s="3"/>
      <c r="T404" s="2"/>
      <c r="U404" s="2"/>
      <c r="V404" s="2"/>
      <c r="W404" s="4"/>
      <c r="X404" s="4"/>
      <c r="Y404" s="4"/>
      <c r="Z404" s="5"/>
      <c r="AA404" s="5"/>
      <c r="AB404" s="5"/>
      <c r="AC404" s="5"/>
      <c r="AD404" s="5"/>
      <c r="AE404" s="5"/>
      <c r="AF404" s="5"/>
      <c r="AG404" s="2"/>
      <c r="AH404" s="2"/>
      <c r="AI404" s="2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ht="14.25" customHeight="1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3"/>
      <c r="S405" s="3"/>
      <c r="T405" s="2"/>
      <c r="U405" s="2"/>
      <c r="V405" s="2"/>
      <c r="W405" s="4"/>
      <c r="X405" s="4"/>
      <c r="Y405" s="4"/>
      <c r="Z405" s="5"/>
      <c r="AA405" s="5"/>
      <c r="AB405" s="5"/>
      <c r="AC405" s="5"/>
      <c r="AD405" s="5"/>
      <c r="AE405" s="5"/>
      <c r="AF405" s="5"/>
      <c r="AG405" s="2"/>
      <c r="AH405" s="2"/>
      <c r="AI405" s="2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ht="14.25" customHeight="1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3"/>
      <c r="S406" s="3"/>
      <c r="T406" s="2"/>
      <c r="U406" s="2"/>
      <c r="V406" s="2"/>
      <c r="W406" s="4"/>
      <c r="X406" s="4"/>
      <c r="Y406" s="4"/>
      <c r="Z406" s="5"/>
      <c r="AA406" s="5"/>
      <c r="AB406" s="5"/>
      <c r="AC406" s="5"/>
      <c r="AD406" s="5"/>
      <c r="AE406" s="5"/>
      <c r="AF406" s="5"/>
      <c r="AG406" s="2"/>
      <c r="AH406" s="2"/>
      <c r="AI406" s="2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ht="14.25" customHeight="1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3"/>
      <c r="S407" s="3"/>
      <c r="T407" s="2"/>
      <c r="U407" s="2"/>
      <c r="V407" s="2"/>
      <c r="W407" s="4"/>
      <c r="X407" s="4"/>
      <c r="Y407" s="4"/>
      <c r="Z407" s="5"/>
      <c r="AA407" s="5"/>
      <c r="AB407" s="5"/>
      <c r="AC407" s="5"/>
      <c r="AD407" s="5"/>
      <c r="AE407" s="5"/>
      <c r="AF407" s="5"/>
      <c r="AG407" s="2"/>
      <c r="AH407" s="2"/>
      <c r="AI407" s="2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ht="14.25" customHeight="1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3"/>
      <c r="S408" s="3"/>
      <c r="T408" s="2"/>
      <c r="U408" s="2"/>
      <c r="V408" s="2"/>
      <c r="W408" s="4"/>
      <c r="X408" s="4"/>
      <c r="Y408" s="4"/>
      <c r="Z408" s="5"/>
      <c r="AA408" s="5"/>
      <c r="AB408" s="5"/>
      <c r="AC408" s="5"/>
      <c r="AD408" s="5"/>
      <c r="AE408" s="5"/>
      <c r="AF408" s="5"/>
      <c r="AG408" s="2"/>
      <c r="AH408" s="2"/>
      <c r="AI408" s="2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ht="14.25" customHeight="1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3"/>
      <c r="S409" s="3"/>
      <c r="T409" s="2"/>
      <c r="U409" s="2"/>
      <c r="V409" s="2"/>
      <c r="W409" s="4"/>
      <c r="X409" s="4"/>
      <c r="Y409" s="4"/>
      <c r="Z409" s="5"/>
      <c r="AA409" s="5"/>
      <c r="AB409" s="5"/>
      <c r="AC409" s="5"/>
      <c r="AD409" s="5"/>
      <c r="AE409" s="5"/>
      <c r="AF409" s="5"/>
      <c r="AG409" s="2"/>
      <c r="AH409" s="2"/>
      <c r="AI409" s="2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ht="14.25" customHeight="1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3"/>
      <c r="S410" s="3"/>
      <c r="T410" s="2"/>
      <c r="U410" s="2"/>
      <c r="V410" s="2"/>
      <c r="W410" s="4"/>
      <c r="X410" s="4"/>
      <c r="Y410" s="4"/>
      <c r="Z410" s="5"/>
      <c r="AA410" s="5"/>
      <c r="AB410" s="5"/>
      <c r="AC410" s="5"/>
      <c r="AD410" s="5"/>
      <c r="AE410" s="5"/>
      <c r="AF410" s="5"/>
      <c r="AG410" s="2"/>
      <c r="AH410" s="2"/>
      <c r="AI410" s="2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ht="14.25" customHeight="1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3"/>
      <c r="S411" s="3"/>
      <c r="T411" s="2"/>
      <c r="U411" s="2"/>
      <c r="V411" s="2"/>
      <c r="W411" s="4"/>
      <c r="X411" s="4"/>
      <c r="Y411" s="4"/>
      <c r="Z411" s="5"/>
      <c r="AA411" s="5"/>
      <c r="AB411" s="5"/>
      <c r="AC411" s="5"/>
      <c r="AD411" s="5"/>
      <c r="AE411" s="5"/>
      <c r="AF411" s="5"/>
      <c r="AG411" s="2"/>
      <c r="AH411" s="2"/>
      <c r="AI411" s="2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ht="14.25" customHeight="1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3"/>
      <c r="S412" s="3"/>
      <c r="T412" s="2"/>
      <c r="U412" s="2"/>
      <c r="V412" s="2"/>
      <c r="W412" s="4"/>
      <c r="X412" s="4"/>
      <c r="Y412" s="4"/>
      <c r="Z412" s="5"/>
      <c r="AA412" s="5"/>
      <c r="AB412" s="5"/>
      <c r="AC412" s="5"/>
      <c r="AD412" s="5"/>
      <c r="AE412" s="5"/>
      <c r="AF412" s="5"/>
      <c r="AG412" s="2"/>
      <c r="AH412" s="2"/>
      <c r="AI412" s="2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ht="14.25" customHeight="1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3"/>
      <c r="S413" s="3"/>
      <c r="T413" s="2"/>
      <c r="U413" s="2"/>
      <c r="V413" s="2"/>
      <c r="W413" s="4"/>
      <c r="X413" s="4"/>
      <c r="Y413" s="4"/>
      <c r="Z413" s="5"/>
      <c r="AA413" s="5"/>
      <c r="AB413" s="5"/>
      <c r="AC413" s="5"/>
      <c r="AD413" s="5"/>
      <c r="AE413" s="5"/>
      <c r="AF413" s="5"/>
      <c r="AG413" s="2"/>
      <c r="AH413" s="2"/>
      <c r="AI413" s="2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ht="14.25" customHeight="1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3"/>
      <c r="S414" s="3"/>
      <c r="T414" s="2"/>
      <c r="U414" s="2"/>
      <c r="V414" s="2"/>
      <c r="W414" s="4"/>
      <c r="X414" s="4"/>
      <c r="Y414" s="4"/>
      <c r="Z414" s="5"/>
      <c r="AA414" s="5"/>
      <c r="AB414" s="5"/>
      <c r="AC414" s="5"/>
      <c r="AD414" s="5"/>
      <c r="AE414" s="5"/>
      <c r="AF414" s="5"/>
      <c r="AG414" s="2"/>
      <c r="AH414" s="2"/>
      <c r="AI414" s="2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ht="14.25" customHeight="1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3"/>
      <c r="S415" s="3"/>
      <c r="T415" s="2"/>
      <c r="U415" s="2"/>
      <c r="V415" s="2"/>
      <c r="W415" s="4"/>
      <c r="X415" s="4"/>
      <c r="Y415" s="4"/>
      <c r="Z415" s="5"/>
      <c r="AA415" s="5"/>
      <c r="AB415" s="5"/>
      <c r="AC415" s="5"/>
      <c r="AD415" s="5"/>
      <c r="AE415" s="5"/>
      <c r="AF415" s="5"/>
      <c r="AG415" s="2"/>
      <c r="AH415" s="2"/>
      <c r="AI415" s="2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ht="14.25" customHeight="1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3"/>
      <c r="S416" s="3"/>
      <c r="T416" s="2"/>
      <c r="U416" s="2"/>
      <c r="V416" s="2"/>
      <c r="W416" s="4"/>
      <c r="X416" s="4"/>
      <c r="Y416" s="4"/>
      <c r="Z416" s="5"/>
      <c r="AA416" s="5"/>
      <c r="AB416" s="5"/>
      <c r="AC416" s="5"/>
      <c r="AD416" s="5"/>
      <c r="AE416" s="5"/>
      <c r="AF416" s="5"/>
      <c r="AG416" s="2"/>
      <c r="AH416" s="2"/>
      <c r="AI416" s="2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ht="14.25" customHeight="1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3"/>
      <c r="S417" s="3"/>
      <c r="T417" s="2"/>
      <c r="U417" s="2"/>
      <c r="V417" s="2"/>
      <c r="W417" s="4"/>
      <c r="X417" s="4"/>
      <c r="Y417" s="4"/>
      <c r="Z417" s="5"/>
      <c r="AA417" s="5"/>
      <c r="AB417" s="5"/>
      <c r="AC417" s="5"/>
      <c r="AD417" s="5"/>
      <c r="AE417" s="5"/>
      <c r="AF417" s="5"/>
      <c r="AG417" s="2"/>
      <c r="AH417" s="2"/>
      <c r="AI417" s="2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ht="14.25" customHeight="1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3"/>
      <c r="S418" s="3"/>
      <c r="T418" s="2"/>
      <c r="U418" s="2"/>
      <c r="V418" s="2"/>
      <c r="W418" s="4"/>
      <c r="X418" s="4"/>
      <c r="Y418" s="4"/>
      <c r="Z418" s="5"/>
      <c r="AA418" s="5"/>
      <c r="AB418" s="5"/>
      <c r="AC418" s="5"/>
      <c r="AD418" s="5"/>
      <c r="AE418" s="5"/>
      <c r="AF418" s="5"/>
      <c r="AG418" s="2"/>
      <c r="AH418" s="2"/>
      <c r="AI418" s="2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ht="14.25" customHeight="1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3"/>
      <c r="S419" s="3"/>
      <c r="T419" s="2"/>
      <c r="U419" s="2"/>
      <c r="V419" s="2"/>
      <c r="W419" s="4"/>
      <c r="X419" s="4"/>
      <c r="Y419" s="4"/>
      <c r="Z419" s="5"/>
      <c r="AA419" s="5"/>
      <c r="AB419" s="5"/>
      <c r="AC419" s="5"/>
      <c r="AD419" s="5"/>
      <c r="AE419" s="5"/>
      <c r="AF419" s="5"/>
      <c r="AG419" s="2"/>
      <c r="AH419" s="2"/>
      <c r="AI419" s="2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ht="14.25" customHeight="1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3"/>
      <c r="S420" s="3"/>
      <c r="T420" s="2"/>
      <c r="U420" s="2"/>
      <c r="V420" s="2"/>
      <c r="W420" s="4"/>
      <c r="X420" s="4"/>
      <c r="Y420" s="4"/>
      <c r="Z420" s="5"/>
      <c r="AA420" s="5"/>
      <c r="AB420" s="5"/>
      <c r="AC420" s="5"/>
      <c r="AD420" s="5"/>
      <c r="AE420" s="5"/>
      <c r="AF420" s="5"/>
      <c r="AG420" s="2"/>
      <c r="AH420" s="2"/>
      <c r="AI420" s="2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ht="14.25" customHeight="1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3"/>
      <c r="S421" s="3"/>
      <c r="T421" s="2"/>
      <c r="U421" s="2"/>
      <c r="V421" s="2"/>
      <c r="W421" s="4"/>
      <c r="X421" s="4"/>
      <c r="Y421" s="4"/>
      <c r="Z421" s="5"/>
      <c r="AA421" s="5"/>
      <c r="AB421" s="5"/>
      <c r="AC421" s="5"/>
      <c r="AD421" s="5"/>
      <c r="AE421" s="5"/>
      <c r="AF421" s="5"/>
      <c r="AG421" s="2"/>
      <c r="AH421" s="2"/>
      <c r="AI421" s="2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ht="14.25" customHeight="1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3"/>
      <c r="S422" s="3"/>
      <c r="T422" s="2"/>
      <c r="U422" s="2"/>
      <c r="V422" s="2"/>
      <c r="W422" s="4"/>
      <c r="X422" s="4"/>
      <c r="Y422" s="4"/>
      <c r="Z422" s="5"/>
      <c r="AA422" s="5"/>
      <c r="AB422" s="5"/>
      <c r="AC422" s="5"/>
      <c r="AD422" s="5"/>
      <c r="AE422" s="5"/>
      <c r="AF422" s="5"/>
      <c r="AG422" s="2"/>
      <c r="AH422" s="2"/>
      <c r="AI422" s="2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ht="14.25" customHeight="1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3"/>
      <c r="S423" s="3"/>
      <c r="T423" s="2"/>
      <c r="U423" s="2"/>
      <c r="V423" s="2"/>
      <c r="W423" s="4"/>
      <c r="X423" s="4"/>
      <c r="Y423" s="4"/>
      <c r="Z423" s="5"/>
      <c r="AA423" s="5"/>
      <c r="AB423" s="5"/>
      <c r="AC423" s="5"/>
      <c r="AD423" s="5"/>
      <c r="AE423" s="5"/>
      <c r="AF423" s="5"/>
      <c r="AG423" s="2"/>
      <c r="AH423" s="2"/>
      <c r="AI423" s="2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ht="14.25" customHeight="1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3"/>
      <c r="S424" s="3"/>
      <c r="T424" s="2"/>
      <c r="U424" s="2"/>
      <c r="V424" s="2"/>
      <c r="W424" s="4"/>
      <c r="X424" s="4"/>
      <c r="Y424" s="4"/>
      <c r="Z424" s="5"/>
      <c r="AA424" s="5"/>
      <c r="AB424" s="5"/>
      <c r="AC424" s="5"/>
      <c r="AD424" s="5"/>
      <c r="AE424" s="5"/>
      <c r="AF424" s="5"/>
      <c r="AG424" s="2"/>
      <c r="AH424" s="2"/>
      <c r="AI424" s="2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ht="14.25" customHeight="1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3"/>
      <c r="S425" s="3"/>
      <c r="T425" s="2"/>
      <c r="U425" s="2"/>
      <c r="V425" s="2"/>
      <c r="W425" s="4"/>
      <c r="X425" s="4"/>
      <c r="Y425" s="4"/>
      <c r="Z425" s="5"/>
      <c r="AA425" s="5"/>
      <c r="AB425" s="5"/>
      <c r="AC425" s="5"/>
      <c r="AD425" s="5"/>
      <c r="AE425" s="5"/>
      <c r="AF425" s="5"/>
      <c r="AG425" s="2"/>
      <c r="AH425" s="2"/>
      <c r="AI425" s="2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ht="14.25" customHeight="1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3"/>
      <c r="S426" s="3"/>
      <c r="T426" s="2"/>
      <c r="U426" s="2"/>
      <c r="V426" s="2"/>
      <c r="W426" s="4"/>
      <c r="X426" s="4"/>
      <c r="Y426" s="4"/>
      <c r="Z426" s="5"/>
      <c r="AA426" s="5"/>
      <c r="AB426" s="5"/>
      <c r="AC426" s="5"/>
      <c r="AD426" s="5"/>
      <c r="AE426" s="5"/>
      <c r="AF426" s="5"/>
      <c r="AG426" s="2"/>
      <c r="AH426" s="2"/>
      <c r="AI426" s="2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ht="14.25" customHeight="1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3"/>
      <c r="S427" s="3"/>
      <c r="T427" s="2"/>
      <c r="U427" s="2"/>
      <c r="V427" s="2"/>
      <c r="W427" s="4"/>
      <c r="X427" s="4"/>
      <c r="Y427" s="4"/>
      <c r="Z427" s="5"/>
      <c r="AA427" s="5"/>
      <c r="AB427" s="5"/>
      <c r="AC427" s="5"/>
      <c r="AD427" s="5"/>
      <c r="AE427" s="5"/>
      <c r="AF427" s="5"/>
      <c r="AG427" s="2"/>
      <c r="AH427" s="2"/>
      <c r="AI427" s="2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ht="14.25" customHeight="1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3"/>
      <c r="S428" s="3"/>
      <c r="T428" s="2"/>
      <c r="U428" s="2"/>
      <c r="V428" s="2"/>
      <c r="W428" s="4"/>
      <c r="X428" s="4"/>
      <c r="Y428" s="4"/>
      <c r="Z428" s="5"/>
      <c r="AA428" s="5"/>
      <c r="AB428" s="5"/>
      <c r="AC428" s="5"/>
      <c r="AD428" s="5"/>
      <c r="AE428" s="5"/>
      <c r="AF428" s="5"/>
      <c r="AG428" s="2"/>
      <c r="AH428" s="2"/>
      <c r="AI428" s="2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ht="14.25" customHeight="1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3"/>
      <c r="S429" s="3"/>
      <c r="T429" s="2"/>
      <c r="U429" s="2"/>
      <c r="V429" s="2"/>
      <c r="W429" s="4"/>
      <c r="X429" s="4"/>
      <c r="Y429" s="4"/>
      <c r="Z429" s="5"/>
      <c r="AA429" s="5"/>
      <c r="AB429" s="5"/>
      <c r="AC429" s="5"/>
      <c r="AD429" s="5"/>
      <c r="AE429" s="5"/>
      <c r="AF429" s="5"/>
      <c r="AG429" s="2"/>
      <c r="AH429" s="2"/>
      <c r="AI429" s="2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ht="14.25" customHeight="1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3"/>
      <c r="S430" s="3"/>
      <c r="T430" s="2"/>
      <c r="U430" s="2"/>
      <c r="V430" s="2"/>
      <c r="W430" s="4"/>
      <c r="X430" s="4"/>
      <c r="Y430" s="4"/>
      <c r="Z430" s="5"/>
      <c r="AA430" s="5"/>
      <c r="AB430" s="5"/>
      <c r="AC430" s="5"/>
      <c r="AD430" s="5"/>
      <c r="AE430" s="5"/>
      <c r="AF430" s="5"/>
      <c r="AG430" s="2"/>
      <c r="AH430" s="2"/>
      <c r="AI430" s="2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ht="14.25" customHeight="1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3"/>
      <c r="S431" s="3"/>
      <c r="T431" s="2"/>
      <c r="U431" s="2"/>
      <c r="V431" s="2"/>
      <c r="W431" s="4"/>
      <c r="X431" s="4"/>
      <c r="Y431" s="4"/>
      <c r="Z431" s="5"/>
      <c r="AA431" s="5"/>
      <c r="AB431" s="5"/>
      <c r="AC431" s="5"/>
      <c r="AD431" s="5"/>
      <c r="AE431" s="5"/>
      <c r="AF431" s="5"/>
      <c r="AG431" s="2"/>
      <c r="AH431" s="2"/>
      <c r="AI431" s="2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ht="14.25" customHeight="1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3"/>
      <c r="S432" s="3"/>
      <c r="T432" s="2"/>
      <c r="U432" s="2"/>
      <c r="V432" s="2"/>
      <c r="W432" s="4"/>
      <c r="X432" s="4"/>
      <c r="Y432" s="4"/>
      <c r="Z432" s="5"/>
      <c r="AA432" s="5"/>
      <c r="AB432" s="5"/>
      <c r="AC432" s="5"/>
      <c r="AD432" s="5"/>
      <c r="AE432" s="5"/>
      <c r="AF432" s="5"/>
      <c r="AG432" s="2"/>
      <c r="AH432" s="2"/>
      <c r="AI432" s="2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ht="14.25" customHeight="1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3"/>
      <c r="S433" s="3"/>
      <c r="T433" s="2"/>
      <c r="U433" s="2"/>
      <c r="V433" s="2"/>
      <c r="W433" s="4"/>
      <c r="X433" s="4"/>
      <c r="Y433" s="4"/>
      <c r="Z433" s="5"/>
      <c r="AA433" s="5"/>
      <c r="AB433" s="5"/>
      <c r="AC433" s="5"/>
      <c r="AD433" s="5"/>
      <c r="AE433" s="5"/>
      <c r="AF433" s="5"/>
      <c r="AG433" s="2"/>
      <c r="AH433" s="2"/>
      <c r="AI433" s="2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ht="14.25" customHeight="1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3"/>
      <c r="S434" s="3"/>
      <c r="T434" s="2"/>
      <c r="U434" s="2"/>
      <c r="V434" s="2"/>
      <c r="W434" s="4"/>
      <c r="X434" s="4"/>
      <c r="Y434" s="4"/>
      <c r="Z434" s="5"/>
      <c r="AA434" s="5"/>
      <c r="AB434" s="5"/>
      <c r="AC434" s="5"/>
      <c r="AD434" s="5"/>
      <c r="AE434" s="5"/>
      <c r="AF434" s="5"/>
      <c r="AG434" s="2"/>
      <c r="AH434" s="2"/>
      <c r="AI434" s="2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ht="14.25" customHeight="1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3"/>
      <c r="S435" s="3"/>
      <c r="T435" s="2"/>
      <c r="U435" s="2"/>
      <c r="V435" s="2"/>
      <c r="W435" s="4"/>
      <c r="X435" s="4"/>
      <c r="Y435" s="4"/>
      <c r="Z435" s="5"/>
      <c r="AA435" s="5"/>
      <c r="AB435" s="5"/>
      <c r="AC435" s="5"/>
      <c r="AD435" s="5"/>
      <c r="AE435" s="5"/>
      <c r="AF435" s="5"/>
      <c r="AG435" s="2"/>
      <c r="AH435" s="2"/>
      <c r="AI435" s="2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ht="14.25" customHeight="1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3"/>
      <c r="S436" s="3"/>
      <c r="T436" s="2"/>
      <c r="U436" s="2"/>
      <c r="V436" s="2"/>
      <c r="W436" s="4"/>
      <c r="X436" s="4"/>
      <c r="Y436" s="4"/>
      <c r="Z436" s="5"/>
      <c r="AA436" s="5"/>
      <c r="AB436" s="5"/>
      <c r="AC436" s="5"/>
      <c r="AD436" s="5"/>
      <c r="AE436" s="5"/>
      <c r="AF436" s="5"/>
      <c r="AG436" s="2"/>
      <c r="AH436" s="2"/>
      <c r="AI436" s="2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ht="14.25" customHeight="1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3"/>
      <c r="S437" s="3"/>
      <c r="T437" s="2"/>
      <c r="U437" s="2"/>
      <c r="V437" s="2"/>
      <c r="W437" s="4"/>
      <c r="X437" s="4"/>
      <c r="Y437" s="4"/>
      <c r="Z437" s="5"/>
      <c r="AA437" s="5"/>
      <c r="AB437" s="5"/>
      <c r="AC437" s="5"/>
      <c r="AD437" s="5"/>
      <c r="AE437" s="5"/>
      <c r="AF437" s="5"/>
      <c r="AG437" s="2"/>
      <c r="AH437" s="2"/>
      <c r="AI437" s="2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ht="14.25" customHeight="1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3"/>
      <c r="S438" s="3"/>
      <c r="T438" s="2"/>
      <c r="U438" s="2"/>
      <c r="V438" s="2"/>
      <c r="W438" s="4"/>
      <c r="X438" s="4"/>
      <c r="Y438" s="4"/>
      <c r="Z438" s="5"/>
      <c r="AA438" s="5"/>
      <c r="AB438" s="5"/>
      <c r="AC438" s="5"/>
      <c r="AD438" s="5"/>
      <c r="AE438" s="5"/>
      <c r="AF438" s="5"/>
      <c r="AG438" s="2"/>
      <c r="AH438" s="2"/>
      <c r="AI438" s="2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ht="14.25" customHeight="1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3"/>
      <c r="S439" s="3"/>
      <c r="T439" s="2"/>
      <c r="U439" s="2"/>
      <c r="V439" s="2"/>
      <c r="W439" s="4"/>
      <c r="X439" s="4"/>
      <c r="Y439" s="4"/>
      <c r="Z439" s="5"/>
      <c r="AA439" s="5"/>
      <c r="AB439" s="5"/>
      <c r="AC439" s="5"/>
      <c r="AD439" s="5"/>
      <c r="AE439" s="5"/>
      <c r="AF439" s="5"/>
      <c r="AG439" s="2"/>
      <c r="AH439" s="2"/>
      <c r="AI439" s="2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ht="14.25" customHeight="1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3"/>
      <c r="S440" s="3"/>
      <c r="T440" s="2"/>
      <c r="U440" s="2"/>
      <c r="V440" s="2"/>
      <c r="W440" s="4"/>
      <c r="X440" s="4"/>
      <c r="Y440" s="4"/>
      <c r="Z440" s="5"/>
      <c r="AA440" s="5"/>
      <c r="AB440" s="5"/>
      <c r="AC440" s="5"/>
      <c r="AD440" s="5"/>
      <c r="AE440" s="5"/>
      <c r="AF440" s="5"/>
      <c r="AG440" s="2"/>
      <c r="AH440" s="2"/>
      <c r="AI440" s="2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ht="14.25" customHeight="1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3"/>
      <c r="S441" s="3"/>
      <c r="T441" s="2"/>
      <c r="U441" s="2"/>
      <c r="V441" s="2"/>
      <c r="W441" s="4"/>
      <c r="X441" s="4"/>
      <c r="Y441" s="4"/>
      <c r="Z441" s="5"/>
      <c r="AA441" s="5"/>
      <c r="AB441" s="5"/>
      <c r="AC441" s="5"/>
      <c r="AD441" s="5"/>
      <c r="AE441" s="5"/>
      <c r="AF441" s="5"/>
      <c r="AG441" s="2"/>
      <c r="AH441" s="2"/>
      <c r="AI441" s="2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ht="14.25" customHeight="1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3"/>
      <c r="S442" s="3"/>
      <c r="T442" s="2"/>
      <c r="U442" s="2"/>
      <c r="V442" s="2"/>
      <c r="W442" s="4"/>
      <c r="X442" s="4"/>
      <c r="Y442" s="4"/>
      <c r="Z442" s="5"/>
      <c r="AA442" s="5"/>
      <c r="AB442" s="5"/>
      <c r="AC442" s="5"/>
      <c r="AD442" s="5"/>
      <c r="AE442" s="5"/>
      <c r="AF442" s="5"/>
      <c r="AG442" s="2"/>
      <c r="AH442" s="2"/>
      <c r="AI442" s="2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ht="14.25" customHeight="1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3"/>
      <c r="S443" s="3"/>
      <c r="T443" s="2"/>
      <c r="U443" s="2"/>
      <c r="V443" s="2"/>
      <c r="W443" s="4"/>
      <c r="X443" s="4"/>
      <c r="Y443" s="4"/>
      <c r="Z443" s="5"/>
      <c r="AA443" s="5"/>
      <c r="AB443" s="5"/>
      <c r="AC443" s="5"/>
      <c r="AD443" s="5"/>
      <c r="AE443" s="5"/>
      <c r="AF443" s="5"/>
      <c r="AG443" s="2"/>
      <c r="AH443" s="2"/>
      <c r="AI443" s="2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ht="14.25" customHeight="1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3"/>
      <c r="S444" s="3"/>
      <c r="T444" s="2"/>
      <c r="U444" s="2"/>
      <c r="V444" s="2"/>
      <c r="W444" s="4"/>
      <c r="X444" s="4"/>
      <c r="Y444" s="4"/>
      <c r="Z444" s="5"/>
      <c r="AA444" s="5"/>
      <c r="AB444" s="5"/>
      <c r="AC444" s="5"/>
      <c r="AD444" s="5"/>
      <c r="AE444" s="5"/>
      <c r="AF444" s="5"/>
      <c r="AG444" s="2"/>
      <c r="AH444" s="2"/>
      <c r="AI444" s="2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ht="14.25" customHeight="1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3"/>
      <c r="S445" s="3"/>
      <c r="T445" s="2"/>
      <c r="U445" s="2"/>
      <c r="V445" s="2"/>
      <c r="W445" s="4"/>
      <c r="X445" s="4"/>
      <c r="Y445" s="4"/>
      <c r="Z445" s="5"/>
      <c r="AA445" s="5"/>
      <c r="AB445" s="5"/>
      <c r="AC445" s="5"/>
      <c r="AD445" s="5"/>
      <c r="AE445" s="5"/>
      <c r="AF445" s="5"/>
      <c r="AG445" s="2"/>
      <c r="AH445" s="2"/>
      <c r="AI445" s="2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ht="14.25" customHeight="1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3"/>
      <c r="S446" s="3"/>
      <c r="T446" s="2"/>
      <c r="U446" s="2"/>
      <c r="V446" s="2"/>
      <c r="W446" s="4"/>
      <c r="X446" s="4"/>
      <c r="Y446" s="4"/>
      <c r="Z446" s="5"/>
      <c r="AA446" s="5"/>
      <c r="AB446" s="5"/>
      <c r="AC446" s="5"/>
      <c r="AD446" s="5"/>
      <c r="AE446" s="5"/>
      <c r="AF446" s="5"/>
      <c r="AG446" s="2"/>
      <c r="AH446" s="2"/>
      <c r="AI446" s="2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ht="14.25" customHeight="1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3"/>
      <c r="S447" s="3"/>
      <c r="T447" s="2"/>
      <c r="U447" s="2"/>
      <c r="V447" s="2"/>
      <c r="W447" s="4"/>
      <c r="X447" s="4"/>
      <c r="Y447" s="4"/>
      <c r="Z447" s="5"/>
      <c r="AA447" s="5"/>
      <c r="AB447" s="5"/>
      <c r="AC447" s="5"/>
      <c r="AD447" s="5"/>
      <c r="AE447" s="5"/>
      <c r="AF447" s="5"/>
      <c r="AG447" s="2"/>
      <c r="AH447" s="2"/>
      <c r="AI447" s="2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ht="14.25" customHeight="1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3"/>
      <c r="S448" s="3"/>
      <c r="T448" s="2"/>
      <c r="U448" s="2"/>
      <c r="V448" s="2"/>
      <c r="W448" s="4"/>
      <c r="X448" s="4"/>
      <c r="Y448" s="4"/>
      <c r="Z448" s="5"/>
      <c r="AA448" s="5"/>
      <c r="AB448" s="5"/>
      <c r="AC448" s="5"/>
      <c r="AD448" s="5"/>
      <c r="AE448" s="5"/>
      <c r="AF448" s="5"/>
      <c r="AG448" s="2"/>
      <c r="AH448" s="2"/>
      <c r="AI448" s="2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ht="14.25" customHeight="1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3"/>
      <c r="S449" s="3"/>
      <c r="T449" s="2"/>
      <c r="U449" s="2"/>
      <c r="V449" s="2"/>
      <c r="W449" s="4"/>
      <c r="X449" s="4"/>
      <c r="Y449" s="4"/>
      <c r="Z449" s="5"/>
      <c r="AA449" s="5"/>
      <c r="AB449" s="5"/>
      <c r="AC449" s="5"/>
      <c r="AD449" s="5"/>
      <c r="AE449" s="5"/>
      <c r="AF449" s="5"/>
      <c r="AG449" s="2"/>
      <c r="AH449" s="2"/>
      <c r="AI449" s="2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ht="14.25" customHeight="1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3"/>
      <c r="S450" s="3"/>
      <c r="T450" s="2"/>
      <c r="U450" s="2"/>
      <c r="V450" s="2"/>
      <c r="W450" s="4"/>
      <c r="X450" s="4"/>
      <c r="Y450" s="4"/>
      <c r="Z450" s="5"/>
      <c r="AA450" s="5"/>
      <c r="AB450" s="5"/>
      <c r="AC450" s="5"/>
      <c r="AD450" s="5"/>
      <c r="AE450" s="5"/>
      <c r="AF450" s="5"/>
      <c r="AG450" s="2"/>
      <c r="AH450" s="2"/>
      <c r="AI450" s="2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ht="14.25" customHeight="1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3"/>
      <c r="S451" s="3"/>
      <c r="T451" s="2"/>
      <c r="U451" s="2"/>
      <c r="V451" s="2"/>
      <c r="W451" s="4"/>
      <c r="X451" s="4"/>
      <c r="Y451" s="4"/>
      <c r="Z451" s="5"/>
      <c r="AA451" s="5"/>
      <c r="AB451" s="5"/>
      <c r="AC451" s="5"/>
      <c r="AD451" s="5"/>
      <c r="AE451" s="5"/>
      <c r="AF451" s="5"/>
      <c r="AG451" s="2"/>
      <c r="AH451" s="2"/>
      <c r="AI451" s="2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ht="14.25" customHeight="1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3"/>
      <c r="S452" s="3"/>
      <c r="T452" s="2"/>
      <c r="U452" s="2"/>
      <c r="V452" s="2"/>
      <c r="W452" s="4"/>
      <c r="X452" s="4"/>
      <c r="Y452" s="4"/>
      <c r="Z452" s="5"/>
      <c r="AA452" s="5"/>
      <c r="AB452" s="5"/>
      <c r="AC452" s="5"/>
      <c r="AD452" s="5"/>
      <c r="AE452" s="5"/>
      <c r="AF452" s="5"/>
      <c r="AG452" s="2"/>
      <c r="AH452" s="2"/>
      <c r="AI452" s="2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ht="14.25" customHeight="1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3"/>
      <c r="S453" s="3"/>
      <c r="T453" s="2"/>
      <c r="U453" s="2"/>
      <c r="V453" s="2"/>
      <c r="W453" s="4"/>
      <c r="X453" s="4"/>
      <c r="Y453" s="4"/>
      <c r="Z453" s="5"/>
      <c r="AA453" s="5"/>
      <c r="AB453" s="5"/>
      <c r="AC453" s="5"/>
      <c r="AD453" s="5"/>
      <c r="AE453" s="5"/>
      <c r="AF453" s="5"/>
      <c r="AG453" s="2"/>
      <c r="AH453" s="2"/>
      <c r="AI453" s="2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ht="14.25" customHeight="1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3"/>
      <c r="S454" s="3"/>
      <c r="T454" s="2"/>
      <c r="U454" s="2"/>
      <c r="V454" s="2"/>
      <c r="W454" s="4"/>
      <c r="X454" s="4"/>
      <c r="Y454" s="4"/>
      <c r="Z454" s="5"/>
      <c r="AA454" s="5"/>
      <c r="AB454" s="5"/>
      <c r="AC454" s="5"/>
      <c r="AD454" s="5"/>
      <c r="AE454" s="5"/>
      <c r="AF454" s="5"/>
      <c r="AG454" s="2"/>
      <c r="AH454" s="2"/>
      <c r="AI454" s="2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ht="14.25" customHeight="1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3"/>
      <c r="S455" s="3"/>
      <c r="T455" s="2"/>
      <c r="U455" s="2"/>
      <c r="V455" s="2"/>
      <c r="W455" s="4"/>
      <c r="X455" s="4"/>
      <c r="Y455" s="4"/>
      <c r="Z455" s="5"/>
      <c r="AA455" s="5"/>
      <c r="AB455" s="5"/>
      <c r="AC455" s="5"/>
      <c r="AD455" s="5"/>
      <c r="AE455" s="5"/>
      <c r="AF455" s="5"/>
      <c r="AG455" s="2"/>
      <c r="AH455" s="2"/>
      <c r="AI455" s="2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ht="14.25" customHeight="1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3"/>
      <c r="S456" s="3"/>
      <c r="T456" s="2"/>
      <c r="U456" s="2"/>
      <c r="V456" s="2"/>
      <c r="W456" s="4"/>
      <c r="X456" s="4"/>
      <c r="Y456" s="4"/>
      <c r="Z456" s="5"/>
      <c r="AA456" s="5"/>
      <c r="AB456" s="5"/>
      <c r="AC456" s="5"/>
      <c r="AD456" s="5"/>
      <c r="AE456" s="5"/>
      <c r="AF456" s="5"/>
      <c r="AG456" s="2"/>
      <c r="AH456" s="2"/>
      <c r="AI456" s="2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ht="14.25" customHeight="1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3"/>
      <c r="S457" s="3"/>
      <c r="T457" s="2"/>
      <c r="U457" s="2"/>
      <c r="V457" s="2"/>
      <c r="W457" s="4"/>
      <c r="X457" s="4"/>
      <c r="Y457" s="4"/>
      <c r="Z457" s="5"/>
      <c r="AA457" s="5"/>
      <c r="AB457" s="5"/>
      <c r="AC457" s="5"/>
      <c r="AD457" s="5"/>
      <c r="AE457" s="5"/>
      <c r="AF457" s="5"/>
      <c r="AG457" s="2"/>
      <c r="AH457" s="2"/>
      <c r="AI457" s="2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ht="14.25" customHeight="1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3"/>
      <c r="S458" s="3"/>
      <c r="T458" s="2"/>
      <c r="U458" s="2"/>
      <c r="V458" s="2"/>
      <c r="W458" s="4"/>
      <c r="X458" s="4"/>
      <c r="Y458" s="4"/>
      <c r="Z458" s="5"/>
      <c r="AA458" s="5"/>
      <c r="AB458" s="5"/>
      <c r="AC458" s="5"/>
      <c r="AD458" s="5"/>
      <c r="AE458" s="5"/>
      <c r="AF458" s="5"/>
      <c r="AG458" s="2"/>
      <c r="AH458" s="2"/>
      <c r="AI458" s="2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ht="14.25" customHeight="1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3"/>
      <c r="S459" s="3"/>
      <c r="T459" s="2"/>
      <c r="U459" s="2"/>
      <c r="V459" s="2"/>
      <c r="W459" s="4"/>
      <c r="X459" s="4"/>
      <c r="Y459" s="4"/>
      <c r="Z459" s="5"/>
      <c r="AA459" s="5"/>
      <c r="AB459" s="5"/>
      <c r="AC459" s="5"/>
      <c r="AD459" s="5"/>
      <c r="AE459" s="5"/>
      <c r="AF459" s="5"/>
      <c r="AG459" s="2"/>
      <c r="AH459" s="2"/>
      <c r="AI459" s="2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ht="14.25" customHeight="1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3"/>
      <c r="S460" s="3"/>
      <c r="T460" s="2"/>
      <c r="U460" s="2"/>
      <c r="V460" s="2"/>
      <c r="W460" s="4"/>
      <c r="X460" s="4"/>
      <c r="Y460" s="4"/>
      <c r="Z460" s="5"/>
      <c r="AA460" s="5"/>
      <c r="AB460" s="5"/>
      <c r="AC460" s="5"/>
      <c r="AD460" s="5"/>
      <c r="AE460" s="5"/>
      <c r="AF460" s="5"/>
      <c r="AG460" s="2"/>
      <c r="AH460" s="2"/>
      <c r="AI460" s="2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ht="14.25" customHeight="1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3"/>
      <c r="S461" s="3"/>
      <c r="T461" s="2"/>
      <c r="U461" s="2"/>
      <c r="V461" s="2"/>
      <c r="W461" s="4"/>
      <c r="X461" s="4"/>
      <c r="Y461" s="4"/>
      <c r="Z461" s="5"/>
      <c r="AA461" s="5"/>
      <c r="AB461" s="5"/>
      <c r="AC461" s="5"/>
      <c r="AD461" s="5"/>
      <c r="AE461" s="5"/>
      <c r="AF461" s="5"/>
      <c r="AG461" s="2"/>
      <c r="AH461" s="2"/>
      <c r="AI461" s="2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ht="14.25" customHeight="1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3"/>
      <c r="S462" s="3"/>
      <c r="T462" s="2"/>
      <c r="U462" s="2"/>
      <c r="V462" s="2"/>
      <c r="W462" s="4"/>
      <c r="X462" s="4"/>
      <c r="Y462" s="4"/>
      <c r="Z462" s="5"/>
      <c r="AA462" s="5"/>
      <c r="AB462" s="5"/>
      <c r="AC462" s="5"/>
      <c r="AD462" s="5"/>
      <c r="AE462" s="5"/>
      <c r="AF462" s="5"/>
      <c r="AG462" s="2"/>
      <c r="AH462" s="2"/>
      <c r="AI462" s="2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ht="14.25" customHeight="1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3"/>
      <c r="S463" s="3"/>
      <c r="T463" s="2"/>
      <c r="U463" s="2"/>
      <c r="V463" s="2"/>
      <c r="W463" s="4"/>
      <c r="X463" s="4"/>
      <c r="Y463" s="4"/>
      <c r="Z463" s="5"/>
      <c r="AA463" s="5"/>
      <c r="AB463" s="5"/>
      <c r="AC463" s="5"/>
      <c r="AD463" s="5"/>
      <c r="AE463" s="5"/>
      <c r="AF463" s="5"/>
      <c r="AG463" s="2"/>
      <c r="AH463" s="2"/>
      <c r="AI463" s="2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ht="14.25" customHeight="1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3"/>
      <c r="S464" s="3"/>
      <c r="T464" s="2"/>
      <c r="U464" s="2"/>
      <c r="V464" s="2"/>
      <c r="W464" s="4"/>
      <c r="X464" s="4"/>
      <c r="Y464" s="4"/>
      <c r="Z464" s="5"/>
      <c r="AA464" s="5"/>
      <c r="AB464" s="5"/>
      <c r="AC464" s="5"/>
      <c r="AD464" s="5"/>
      <c r="AE464" s="5"/>
      <c r="AF464" s="5"/>
      <c r="AG464" s="2"/>
      <c r="AH464" s="2"/>
      <c r="AI464" s="2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ht="14.25" customHeight="1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3"/>
      <c r="S465" s="3"/>
      <c r="T465" s="2"/>
      <c r="U465" s="2"/>
      <c r="V465" s="2"/>
      <c r="W465" s="4"/>
      <c r="X465" s="4"/>
      <c r="Y465" s="4"/>
      <c r="Z465" s="5"/>
      <c r="AA465" s="5"/>
      <c r="AB465" s="5"/>
      <c r="AC465" s="5"/>
      <c r="AD465" s="5"/>
      <c r="AE465" s="5"/>
      <c r="AF465" s="5"/>
      <c r="AG465" s="2"/>
      <c r="AH465" s="2"/>
      <c r="AI465" s="2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ht="14.25" customHeight="1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3"/>
      <c r="S466" s="3"/>
      <c r="T466" s="2"/>
      <c r="U466" s="2"/>
      <c r="V466" s="2"/>
      <c r="W466" s="4"/>
      <c r="X466" s="4"/>
      <c r="Y466" s="4"/>
      <c r="Z466" s="5"/>
      <c r="AA466" s="5"/>
      <c r="AB466" s="5"/>
      <c r="AC466" s="5"/>
      <c r="AD466" s="5"/>
      <c r="AE466" s="5"/>
      <c r="AF466" s="5"/>
      <c r="AG466" s="2"/>
      <c r="AH466" s="2"/>
      <c r="AI466" s="2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ht="14.25" customHeight="1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3"/>
      <c r="S467" s="3"/>
      <c r="T467" s="2"/>
      <c r="U467" s="2"/>
      <c r="V467" s="2"/>
      <c r="W467" s="4"/>
      <c r="X467" s="4"/>
      <c r="Y467" s="4"/>
      <c r="Z467" s="5"/>
      <c r="AA467" s="5"/>
      <c r="AB467" s="5"/>
      <c r="AC467" s="5"/>
      <c r="AD467" s="5"/>
      <c r="AE467" s="5"/>
      <c r="AF467" s="5"/>
      <c r="AG467" s="2"/>
      <c r="AH467" s="2"/>
      <c r="AI467" s="2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ht="14.25" customHeight="1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3"/>
      <c r="S468" s="3"/>
      <c r="T468" s="2"/>
      <c r="U468" s="2"/>
      <c r="V468" s="2"/>
      <c r="W468" s="4"/>
      <c r="X468" s="4"/>
      <c r="Y468" s="4"/>
      <c r="Z468" s="5"/>
      <c r="AA468" s="5"/>
      <c r="AB468" s="5"/>
      <c r="AC468" s="5"/>
      <c r="AD468" s="5"/>
      <c r="AE468" s="5"/>
      <c r="AF468" s="5"/>
      <c r="AG468" s="2"/>
      <c r="AH468" s="2"/>
      <c r="AI468" s="2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ht="14.25" customHeight="1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3"/>
      <c r="S469" s="3"/>
      <c r="T469" s="2"/>
      <c r="U469" s="2"/>
      <c r="V469" s="2"/>
      <c r="W469" s="4"/>
      <c r="X469" s="4"/>
      <c r="Y469" s="4"/>
      <c r="Z469" s="5"/>
      <c r="AA469" s="5"/>
      <c r="AB469" s="5"/>
      <c r="AC469" s="5"/>
      <c r="AD469" s="5"/>
      <c r="AE469" s="5"/>
      <c r="AF469" s="5"/>
      <c r="AG469" s="2"/>
      <c r="AH469" s="2"/>
      <c r="AI469" s="2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ht="14.25" customHeight="1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3"/>
      <c r="S470" s="3"/>
      <c r="T470" s="2"/>
      <c r="U470" s="2"/>
      <c r="V470" s="2"/>
      <c r="W470" s="4"/>
      <c r="X470" s="4"/>
      <c r="Y470" s="4"/>
      <c r="Z470" s="5"/>
      <c r="AA470" s="5"/>
      <c r="AB470" s="5"/>
      <c r="AC470" s="5"/>
      <c r="AD470" s="5"/>
      <c r="AE470" s="5"/>
      <c r="AF470" s="5"/>
      <c r="AG470" s="2"/>
      <c r="AH470" s="2"/>
      <c r="AI470" s="2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ht="14.25" customHeight="1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3"/>
      <c r="S471" s="3"/>
      <c r="T471" s="2"/>
      <c r="U471" s="2"/>
      <c r="V471" s="2"/>
      <c r="W471" s="4"/>
      <c r="X471" s="4"/>
      <c r="Y471" s="4"/>
      <c r="Z471" s="5"/>
      <c r="AA471" s="5"/>
      <c r="AB471" s="5"/>
      <c r="AC471" s="5"/>
      <c r="AD471" s="5"/>
      <c r="AE471" s="5"/>
      <c r="AF471" s="5"/>
      <c r="AG471" s="2"/>
      <c r="AH471" s="2"/>
      <c r="AI471" s="2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ht="14.25" customHeight="1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3"/>
      <c r="S472" s="3"/>
      <c r="T472" s="2"/>
      <c r="U472" s="2"/>
      <c r="V472" s="2"/>
      <c r="W472" s="4"/>
      <c r="X472" s="4"/>
      <c r="Y472" s="4"/>
      <c r="Z472" s="5"/>
      <c r="AA472" s="5"/>
      <c r="AB472" s="5"/>
      <c r="AC472" s="5"/>
      <c r="AD472" s="5"/>
      <c r="AE472" s="5"/>
      <c r="AF472" s="5"/>
      <c r="AG472" s="2"/>
      <c r="AH472" s="2"/>
      <c r="AI472" s="2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ht="14.25" customHeight="1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3"/>
      <c r="S473" s="3"/>
      <c r="T473" s="2"/>
      <c r="U473" s="2"/>
      <c r="V473" s="2"/>
      <c r="W473" s="4"/>
      <c r="X473" s="4"/>
      <c r="Y473" s="4"/>
      <c r="Z473" s="5"/>
      <c r="AA473" s="5"/>
      <c r="AB473" s="5"/>
      <c r="AC473" s="5"/>
      <c r="AD473" s="5"/>
      <c r="AE473" s="5"/>
      <c r="AF473" s="5"/>
      <c r="AG473" s="2"/>
      <c r="AH473" s="2"/>
      <c r="AI473" s="2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ht="14.25" customHeight="1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3"/>
      <c r="S474" s="3"/>
      <c r="T474" s="2"/>
      <c r="U474" s="2"/>
      <c r="V474" s="2"/>
      <c r="W474" s="4"/>
      <c r="X474" s="4"/>
      <c r="Y474" s="4"/>
      <c r="Z474" s="5"/>
      <c r="AA474" s="5"/>
      <c r="AB474" s="5"/>
      <c r="AC474" s="5"/>
      <c r="AD474" s="5"/>
      <c r="AE474" s="5"/>
      <c r="AF474" s="5"/>
      <c r="AG474" s="2"/>
      <c r="AH474" s="2"/>
      <c r="AI474" s="2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ht="14.25" customHeight="1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3"/>
      <c r="S475" s="3"/>
      <c r="T475" s="2"/>
      <c r="U475" s="2"/>
      <c r="V475" s="2"/>
      <c r="W475" s="4"/>
      <c r="X475" s="4"/>
      <c r="Y475" s="4"/>
      <c r="Z475" s="5"/>
      <c r="AA475" s="5"/>
      <c r="AB475" s="5"/>
      <c r="AC475" s="5"/>
      <c r="AD475" s="5"/>
      <c r="AE475" s="5"/>
      <c r="AF475" s="5"/>
      <c r="AG475" s="2"/>
      <c r="AH475" s="2"/>
      <c r="AI475" s="2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ht="14.25" customHeight="1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3"/>
      <c r="S476" s="3"/>
      <c r="T476" s="2"/>
      <c r="U476" s="2"/>
      <c r="V476" s="2"/>
      <c r="W476" s="4"/>
      <c r="X476" s="4"/>
      <c r="Y476" s="4"/>
      <c r="Z476" s="5"/>
      <c r="AA476" s="5"/>
      <c r="AB476" s="5"/>
      <c r="AC476" s="5"/>
      <c r="AD476" s="5"/>
      <c r="AE476" s="5"/>
      <c r="AF476" s="5"/>
      <c r="AG476" s="2"/>
      <c r="AH476" s="2"/>
      <c r="AI476" s="2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ht="14.25" customHeight="1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3"/>
      <c r="S477" s="3"/>
      <c r="T477" s="2"/>
      <c r="U477" s="2"/>
      <c r="V477" s="2"/>
      <c r="W477" s="4"/>
      <c r="X477" s="4"/>
      <c r="Y477" s="4"/>
      <c r="Z477" s="5"/>
      <c r="AA477" s="5"/>
      <c r="AB477" s="5"/>
      <c r="AC477" s="5"/>
      <c r="AD477" s="5"/>
      <c r="AE477" s="5"/>
      <c r="AF477" s="5"/>
      <c r="AG477" s="2"/>
      <c r="AH477" s="2"/>
      <c r="AI477" s="2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ht="14.25" customHeight="1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3"/>
      <c r="S478" s="3"/>
      <c r="T478" s="2"/>
      <c r="U478" s="2"/>
      <c r="V478" s="2"/>
      <c r="W478" s="4"/>
      <c r="X478" s="4"/>
      <c r="Y478" s="4"/>
      <c r="Z478" s="5"/>
      <c r="AA478" s="5"/>
      <c r="AB478" s="5"/>
      <c r="AC478" s="5"/>
      <c r="AD478" s="5"/>
      <c r="AE478" s="5"/>
      <c r="AF478" s="5"/>
      <c r="AG478" s="2"/>
      <c r="AH478" s="2"/>
      <c r="AI478" s="2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ht="14.25" customHeight="1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3"/>
      <c r="S479" s="3"/>
      <c r="T479" s="2"/>
      <c r="U479" s="2"/>
      <c r="V479" s="2"/>
      <c r="W479" s="4"/>
      <c r="X479" s="4"/>
      <c r="Y479" s="4"/>
      <c r="Z479" s="5"/>
      <c r="AA479" s="5"/>
      <c r="AB479" s="5"/>
      <c r="AC479" s="5"/>
      <c r="AD479" s="5"/>
      <c r="AE479" s="5"/>
      <c r="AF479" s="5"/>
      <c r="AG479" s="2"/>
      <c r="AH479" s="2"/>
      <c r="AI479" s="2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ht="14.25" customHeight="1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3"/>
      <c r="S480" s="3"/>
      <c r="T480" s="2"/>
      <c r="U480" s="2"/>
      <c r="V480" s="2"/>
      <c r="W480" s="4"/>
      <c r="X480" s="4"/>
      <c r="Y480" s="4"/>
      <c r="Z480" s="5"/>
      <c r="AA480" s="5"/>
      <c r="AB480" s="5"/>
      <c r="AC480" s="5"/>
      <c r="AD480" s="5"/>
      <c r="AE480" s="5"/>
      <c r="AF480" s="5"/>
      <c r="AG480" s="2"/>
      <c r="AH480" s="2"/>
      <c r="AI480" s="2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ht="14.25" customHeight="1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3"/>
      <c r="S481" s="3"/>
      <c r="T481" s="2"/>
      <c r="U481" s="2"/>
      <c r="V481" s="2"/>
      <c r="W481" s="4"/>
      <c r="X481" s="4"/>
      <c r="Y481" s="4"/>
      <c r="Z481" s="5"/>
      <c r="AA481" s="5"/>
      <c r="AB481" s="5"/>
      <c r="AC481" s="5"/>
      <c r="AD481" s="5"/>
      <c r="AE481" s="5"/>
      <c r="AF481" s="5"/>
      <c r="AG481" s="2"/>
      <c r="AH481" s="2"/>
      <c r="AI481" s="2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ht="14.25" customHeight="1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3"/>
      <c r="S482" s="3"/>
      <c r="T482" s="2"/>
      <c r="U482" s="2"/>
      <c r="V482" s="2"/>
      <c r="W482" s="4"/>
      <c r="X482" s="4"/>
      <c r="Y482" s="4"/>
      <c r="Z482" s="5"/>
      <c r="AA482" s="5"/>
      <c r="AB482" s="5"/>
      <c r="AC482" s="5"/>
      <c r="AD482" s="5"/>
      <c r="AE482" s="5"/>
      <c r="AF482" s="5"/>
      <c r="AG482" s="2"/>
      <c r="AH482" s="2"/>
      <c r="AI482" s="2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ht="14.25" customHeight="1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3"/>
      <c r="S483" s="3"/>
      <c r="T483" s="2"/>
      <c r="U483" s="2"/>
      <c r="V483" s="2"/>
      <c r="W483" s="4"/>
      <c r="X483" s="4"/>
      <c r="Y483" s="4"/>
      <c r="Z483" s="5"/>
      <c r="AA483" s="5"/>
      <c r="AB483" s="5"/>
      <c r="AC483" s="5"/>
      <c r="AD483" s="5"/>
      <c r="AE483" s="5"/>
      <c r="AF483" s="5"/>
      <c r="AG483" s="2"/>
      <c r="AH483" s="2"/>
      <c r="AI483" s="2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ht="14.25" customHeight="1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3"/>
      <c r="S484" s="3"/>
      <c r="T484" s="2"/>
      <c r="U484" s="2"/>
      <c r="V484" s="2"/>
      <c r="W484" s="4"/>
      <c r="X484" s="4"/>
      <c r="Y484" s="4"/>
      <c r="Z484" s="5"/>
      <c r="AA484" s="5"/>
      <c r="AB484" s="5"/>
      <c r="AC484" s="5"/>
      <c r="AD484" s="5"/>
      <c r="AE484" s="5"/>
      <c r="AF484" s="5"/>
      <c r="AG484" s="2"/>
      <c r="AH484" s="2"/>
      <c r="AI484" s="2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ht="14.25" customHeight="1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3"/>
      <c r="S485" s="3"/>
      <c r="T485" s="2"/>
      <c r="U485" s="2"/>
      <c r="V485" s="2"/>
      <c r="W485" s="4"/>
      <c r="X485" s="4"/>
      <c r="Y485" s="4"/>
      <c r="Z485" s="5"/>
      <c r="AA485" s="5"/>
      <c r="AB485" s="5"/>
      <c r="AC485" s="5"/>
      <c r="AD485" s="5"/>
      <c r="AE485" s="5"/>
      <c r="AF485" s="5"/>
      <c r="AG485" s="2"/>
      <c r="AH485" s="2"/>
      <c r="AI485" s="2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ht="14.25" customHeight="1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3"/>
      <c r="S486" s="3"/>
      <c r="T486" s="2"/>
      <c r="U486" s="2"/>
      <c r="V486" s="2"/>
      <c r="W486" s="4"/>
      <c r="X486" s="4"/>
      <c r="Y486" s="4"/>
      <c r="Z486" s="5"/>
      <c r="AA486" s="5"/>
      <c r="AB486" s="5"/>
      <c r="AC486" s="5"/>
      <c r="AD486" s="5"/>
      <c r="AE486" s="5"/>
      <c r="AF486" s="5"/>
      <c r="AG486" s="2"/>
      <c r="AH486" s="2"/>
      <c r="AI486" s="2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ht="14.25" customHeight="1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3"/>
      <c r="S487" s="3"/>
      <c r="T487" s="2"/>
      <c r="U487" s="2"/>
      <c r="V487" s="2"/>
      <c r="W487" s="4"/>
      <c r="X487" s="4"/>
      <c r="Y487" s="4"/>
      <c r="Z487" s="5"/>
      <c r="AA487" s="5"/>
      <c r="AB487" s="5"/>
      <c r="AC487" s="5"/>
      <c r="AD487" s="5"/>
      <c r="AE487" s="5"/>
      <c r="AF487" s="5"/>
      <c r="AG487" s="2"/>
      <c r="AH487" s="2"/>
      <c r="AI487" s="2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ht="14.25" customHeight="1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3"/>
      <c r="S488" s="3"/>
      <c r="T488" s="2"/>
      <c r="U488" s="2"/>
      <c r="V488" s="2"/>
      <c r="W488" s="4"/>
      <c r="X488" s="4"/>
      <c r="Y488" s="4"/>
      <c r="Z488" s="5"/>
      <c r="AA488" s="5"/>
      <c r="AB488" s="5"/>
      <c r="AC488" s="5"/>
      <c r="AD488" s="5"/>
      <c r="AE488" s="5"/>
      <c r="AF488" s="5"/>
      <c r="AG488" s="2"/>
      <c r="AH488" s="2"/>
      <c r="AI488" s="2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ht="14.25" customHeight="1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3"/>
      <c r="S489" s="3"/>
      <c r="T489" s="2"/>
      <c r="U489" s="2"/>
      <c r="V489" s="2"/>
      <c r="W489" s="4"/>
      <c r="X489" s="4"/>
      <c r="Y489" s="4"/>
      <c r="Z489" s="5"/>
      <c r="AA489" s="5"/>
      <c r="AB489" s="5"/>
      <c r="AC489" s="5"/>
      <c r="AD489" s="5"/>
      <c r="AE489" s="5"/>
      <c r="AF489" s="5"/>
      <c r="AG489" s="2"/>
      <c r="AH489" s="2"/>
      <c r="AI489" s="2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ht="14.25" customHeight="1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3"/>
      <c r="S490" s="3"/>
      <c r="T490" s="2"/>
      <c r="U490" s="2"/>
      <c r="V490" s="2"/>
      <c r="W490" s="4"/>
      <c r="X490" s="4"/>
      <c r="Y490" s="4"/>
      <c r="Z490" s="5"/>
      <c r="AA490" s="5"/>
      <c r="AB490" s="5"/>
      <c r="AC490" s="5"/>
      <c r="AD490" s="5"/>
      <c r="AE490" s="5"/>
      <c r="AF490" s="5"/>
      <c r="AG490" s="2"/>
      <c r="AH490" s="2"/>
      <c r="AI490" s="2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ht="14.25" customHeight="1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3"/>
      <c r="S491" s="3"/>
      <c r="T491" s="2"/>
      <c r="U491" s="2"/>
      <c r="V491" s="2"/>
      <c r="W491" s="4"/>
      <c r="X491" s="4"/>
      <c r="Y491" s="4"/>
      <c r="Z491" s="5"/>
      <c r="AA491" s="5"/>
      <c r="AB491" s="5"/>
      <c r="AC491" s="5"/>
      <c r="AD491" s="5"/>
      <c r="AE491" s="5"/>
      <c r="AF491" s="5"/>
      <c r="AG491" s="2"/>
      <c r="AH491" s="2"/>
      <c r="AI491" s="2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ht="14.25" customHeight="1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3"/>
      <c r="S492" s="3"/>
      <c r="T492" s="2"/>
      <c r="U492" s="2"/>
      <c r="V492" s="2"/>
      <c r="W492" s="4"/>
      <c r="X492" s="4"/>
      <c r="Y492" s="4"/>
      <c r="Z492" s="5"/>
      <c r="AA492" s="5"/>
      <c r="AB492" s="5"/>
      <c r="AC492" s="5"/>
      <c r="AD492" s="5"/>
      <c r="AE492" s="5"/>
      <c r="AF492" s="5"/>
      <c r="AG492" s="2"/>
      <c r="AH492" s="2"/>
      <c r="AI492" s="2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ht="14.25" customHeight="1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3"/>
      <c r="S493" s="3"/>
      <c r="T493" s="2"/>
      <c r="U493" s="2"/>
      <c r="V493" s="2"/>
      <c r="W493" s="4"/>
      <c r="X493" s="4"/>
      <c r="Y493" s="4"/>
      <c r="Z493" s="5"/>
      <c r="AA493" s="5"/>
      <c r="AB493" s="5"/>
      <c r="AC493" s="5"/>
      <c r="AD493" s="5"/>
      <c r="AE493" s="5"/>
      <c r="AF493" s="5"/>
      <c r="AG493" s="2"/>
      <c r="AH493" s="2"/>
      <c r="AI493" s="2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ht="14.25" customHeight="1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3"/>
      <c r="S494" s="3"/>
      <c r="T494" s="2"/>
      <c r="U494" s="2"/>
      <c r="V494" s="2"/>
      <c r="W494" s="4"/>
      <c r="X494" s="4"/>
      <c r="Y494" s="4"/>
      <c r="Z494" s="5"/>
      <c r="AA494" s="5"/>
      <c r="AB494" s="5"/>
      <c r="AC494" s="5"/>
      <c r="AD494" s="5"/>
      <c r="AE494" s="5"/>
      <c r="AF494" s="5"/>
      <c r="AG494" s="2"/>
      <c r="AH494" s="2"/>
      <c r="AI494" s="2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ht="14.25" customHeight="1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3"/>
      <c r="S495" s="3"/>
      <c r="T495" s="2"/>
      <c r="U495" s="2"/>
      <c r="V495" s="2"/>
      <c r="W495" s="4"/>
      <c r="X495" s="4"/>
      <c r="Y495" s="4"/>
      <c r="Z495" s="5"/>
      <c r="AA495" s="5"/>
      <c r="AB495" s="5"/>
      <c r="AC495" s="5"/>
      <c r="AD495" s="5"/>
      <c r="AE495" s="5"/>
      <c r="AF495" s="5"/>
      <c r="AG495" s="2"/>
      <c r="AH495" s="2"/>
      <c r="AI495" s="2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ht="14.25" customHeight="1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3"/>
      <c r="S496" s="3"/>
      <c r="T496" s="2"/>
      <c r="U496" s="2"/>
      <c r="V496" s="2"/>
      <c r="W496" s="4"/>
      <c r="X496" s="4"/>
      <c r="Y496" s="4"/>
      <c r="Z496" s="5"/>
      <c r="AA496" s="5"/>
      <c r="AB496" s="5"/>
      <c r="AC496" s="5"/>
      <c r="AD496" s="5"/>
      <c r="AE496" s="5"/>
      <c r="AF496" s="5"/>
      <c r="AG496" s="2"/>
      <c r="AH496" s="2"/>
      <c r="AI496" s="2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ht="14.25" customHeight="1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3"/>
      <c r="S497" s="3"/>
      <c r="T497" s="2"/>
      <c r="U497" s="2"/>
      <c r="V497" s="2"/>
      <c r="W497" s="4"/>
      <c r="X497" s="4"/>
      <c r="Y497" s="4"/>
      <c r="Z497" s="5"/>
      <c r="AA497" s="5"/>
      <c r="AB497" s="5"/>
      <c r="AC497" s="5"/>
      <c r="AD497" s="5"/>
      <c r="AE497" s="5"/>
      <c r="AF497" s="5"/>
      <c r="AG497" s="2"/>
      <c r="AH497" s="2"/>
      <c r="AI497" s="2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ht="14.25" customHeight="1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3"/>
      <c r="S498" s="3"/>
      <c r="T498" s="2"/>
      <c r="U498" s="2"/>
      <c r="V498" s="2"/>
      <c r="W498" s="4"/>
      <c r="X498" s="4"/>
      <c r="Y498" s="4"/>
      <c r="Z498" s="5"/>
      <c r="AA498" s="5"/>
      <c r="AB498" s="5"/>
      <c r="AC498" s="5"/>
      <c r="AD498" s="5"/>
      <c r="AE498" s="5"/>
      <c r="AF498" s="5"/>
      <c r="AG498" s="2"/>
      <c r="AH498" s="2"/>
      <c r="AI498" s="2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ht="14.25" customHeight="1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3"/>
      <c r="S499" s="3"/>
      <c r="T499" s="2"/>
      <c r="U499" s="2"/>
      <c r="V499" s="2"/>
      <c r="W499" s="4"/>
      <c r="X499" s="4"/>
      <c r="Y499" s="4"/>
      <c r="Z499" s="5"/>
      <c r="AA499" s="5"/>
      <c r="AB499" s="5"/>
      <c r="AC499" s="5"/>
      <c r="AD499" s="5"/>
      <c r="AE499" s="5"/>
      <c r="AF499" s="5"/>
      <c r="AG499" s="2"/>
      <c r="AH499" s="2"/>
      <c r="AI499" s="2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ht="14.25" customHeight="1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/>
      <c r="R500" s="3"/>
      <c r="S500" s="3"/>
      <c r="T500" s="2"/>
      <c r="U500" s="2"/>
      <c r="V500" s="2"/>
      <c r="W500" s="4"/>
      <c r="X500" s="4"/>
      <c r="Y500" s="4"/>
      <c r="Z500" s="5"/>
      <c r="AA500" s="5"/>
      <c r="AB500" s="5"/>
      <c r="AC500" s="5"/>
      <c r="AD500" s="5"/>
      <c r="AE500" s="5"/>
      <c r="AF500" s="5"/>
      <c r="AG500" s="2"/>
      <c r="AH500" s="2"/>
      <c r="AI500" s="2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spans="1:48" ht="14.25" customHeight="1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3"/>
      <c r="S501" s="3"/>
      <c r="T501" s="2"/>
      <c r="U501" s="2"/>
      <c r="V501" s="2"/>
      <c r="W501" s="4"/>
      <c r="X501" s="4"/>
      <c r="Y501" s="4"/>
      <c r="Z501" s="5"/>
      <c r="AA501" s="5"/>
      <c r="AB501" s="5"/>
      <c r="AC501" s="5"/>
      <c r="AD501" s="5"/>
      <c r="AE501" s="5"/>
      <c r="AF501" s="5"/>
      <c r="AG501" s="2"/>
      <c r="AH501" s="2"/>
      <c r="AI501" s="2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spans="1:48" ht="14.25" customHeight="1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3"/>
      <c r="S502" s="3"/>
      <c r="T502" s="2"/>
      <c r="U502" s="2"/>
      <c r="V502" s="2"/>
      <c r="W502" s="4"/>
      <c r="X502" s="4"/>
      <c r="Y502" s="4"/>
      <c r="Z502" s="5"/>
      <c r="AA502" s="5"/>
      <c r="AB502" s="5"/>
      <c r="AC502" s="5"/>
      <c r="AD502" s="5"/>
      <c r="AE502" s="5"/>
      <c r="AF502" s="5"/>
      <c r="AG502" s="2"/>
      <c r="AH502" s="2"/>
      <c r="AI502" s="2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spans="1:48" ht="14.25" customHeight="1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3"/>
      <c r="S503" s="3"/>
      <c r="T503" s="2"/>
      <c r="U503" s="2"/>
      <c r="V503" s="2"/>
      <c r="W503" s="4"/>
      <c r="X503" s="4"/>
      <c r="Y503" s="4"/>
      <c r="Z503" s="5"/>
      <c r="AA503" s="5"/>
      <c r="AB503" s="5"/>
      <c r="AC503" s="5"/>
      <c r="AD503" s="5"/>
      <c r="AE503" s="5"/>
      <c r="AF503" s="5"/>
      <c r="AG503" s="2"/>
      <c r="AH503" s="2"/>
      <c r="AI503" s="2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spans="1:48" ht="14.25" customHeight="1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3"/>
      <c r="S504" s="3"/>
      <c r="T504" s="2"/>
      <c r="U504" s="2"/>
      <c r="V504" s="2"/>
      <c r="W504" s="4"/>
      <c r="X504" s="4"/>
      <c r="Y504" s="4"/>
      <c r="Z504" s="5"/>
      <c r="AA504" s="5"/>
      <c r="AB504" s="5"/>
      <c r="AC504" s="5"/>
      <c r="AD504" s="5"/>
      <c r="AE504" s="5"/>
      <c r="AF504" s="5"/>
      <c r="AG504" s="2"/>
      <c r="AH504" s="2"/>
      <c r="AI504" s="2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spans="1:48" ht="14.25" customHeight="1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3"/>
      <c r="S505" s="3"/>
      <c r="T505" s="2"/>
      <c r="U505" s="2"/>
      <c r="V505" s="2"/>
      <c r="W505" s="4"/>
      <c r="X505" s="4"/>
      <c r="Y505" s="4"/>
      <c r="Z505" s="5"/>
      <c r="AA505" s="5"/>
      <c r="AB505" s="5"/>
      <c r="AC505" s="5"/>
      <c r="AD505" s="5"/>
      <c r="AE505" s="5"/>
      <c r="AF505" s="5"/>
      <c r="AG505" s="2"/>
      <c r="AH505" s="2"/>
      <c r="AI505" s="2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spans="1:48" ht="14.25" customHeight="1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3"/>
      <c r="R506" s="3"/>
      <c r="S506" s="3"/>
      <c r="T506" s="2"/>
      <c r="U506" s="2"/>
      <c r="V506" s="2"/>
      <c r="W506" s="4"/>
      <c r="X506" s="4"/>
      <c r="Y506" s="4"/>
      <c r="Z506" s="5"/>
      <c r="AA506" s="5"/>
      <c r="AB506" s="5"/>
      <c r="AC506" s="5"/>
      <c r="AD506" s="5"/>
      <c r="AE506" s="5"/>
      <c r="AF506" s="5"/>
      <c r="AG506" s="2"/>
      <c r="AH506" s="2"/>
      <c r="AI506" s="2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spans="1:48" ht="14.25" customHeight="1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/>
      <c r="R507" s="3"/>
      <c r="S507" s="3"/>
      <c r="T507" s="2"/>
      <c r="U507" s="2"/>
      <c r="V507" s="2"/>
      <c r="W507" s="4"/>
      <c r="X507" s="4"/>
      <c r="Y507" s="4"/>
      <c r="Z507" s="5"/>
      <c r="AA507" s="5"/>
      <c r="AB507" s="5"/>
      <c r="AC507" s="5"/>
      <c r="AD507" s="5"/>
      <c r="AE507" s="5"/>
      <c r="AF507" s="5"/>
      <c r="AG507" s="2"/>
      <c r="AH507" s="2"/>
      <c r="AI507" s="2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spans="1:48" ht="14.25" customHeight="1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/>
      <c r="R508" s="3"/>
      <c r="S508" s="3"/>
      <c r="T508" s="2"/>
      <c r="U508" s="2"/>
      <c r="V508" s="2"/>
      <c r="W508" s="4"/>
      <c r="X508" s="4"/>
      <c r="Y508" s="4"/>
      <c r="Z508" s="5"/>
      <c r="AA508" s="5"/>
      <c r="AB508" s="5"/>
      <c r="AC508" s="5"/>
      <c r="AD508" s="5"/>
      <c r="AE508" s="5"/>
      <c r="AF508" s="5"/>
      <c r="AG508" s="2"/>
      <c r="AH508" s="2"/>
      <c r="AI508" s="2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spans="1:48" ht="14.25" customHeight="1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"/>
      <c r="R509" s="3"/>
      <c r="S509" s="3"/>
      <c r="T509" s="2"/>
      <c r="U509" s="2"/>
      <c r="V509" s="2"/>
      <c r="W509" s="4"/>
      <c r="X509" s="4"/>
      <c r="Y509" s="4"/>
      <c r="Z509" s="5"/>
      <c r="AA509" s="5"/>
      <c r="AB509" s="5"/>
      <c r="AC509" s="5"/>
      <c r="AD509" s="5"/>
      <c r="AE509" s="5"/>
      <c r="AF509" s="5"/>
      <c r="AG509" s="2"/>
      <c r="AH509" s="2"/>
      <c r="AI509" s="2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spans="1:48" ht="14.25" customHeight="1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/>
      <c r="R510" s="3"/>
      <c r="S510" s="3"/>
      <c r="T510" s="2"/>
      <c r="U510" s="2"/>
      <c r="V510" s="2"/>
      <c r="W510" s="4"/>
      <c r="X510" s="4"/>
      <c r="Y510" s="4"/>
      <c r="Z510" s="5"/>
      <c r="AA510" s="5"/>
      <c r="AB510" s="5"/>
      <c r="AC510" s="5"/>
      <c r="AD510" s="5"/>
      <c r="AE510" s="5"/>
      <c r="AF510" s="5"/>
      <c r="AG510" s="2"/>
      <c r="AH510" s="2"/>
      <c r="AI510" s="2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spans="1:48" ht="14.25" customHeight="1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/>
      <c r="R511" s="3"/>
      <c r="S511" s="3"/>
      <c r="T511" s="2"/>
      <c r="U511" s="2"/>
      <c r="V511" s="2"/>
      <c r="W511" s="4"/>
      <c r="X511" s="4"/>
      <c r="Y511" s="4"/>
      <c r="Z511" s="5"/>
      <c r="AA511" s="5"/>
      <c r="AB511" s="5"/>
      <c r="AC511" s="5"/>
      <c r="AD511" s="5"/>
      <c r="AE511" s="5"/>
      <c r="AF511" s="5"/>
      <c r="AG511" s="2"/>
      <c r="AH511" s="2"/>
      <c r="AI511" s="2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spans="1:48" ht="14.25" customHeight="1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3"/>
      <c r="R512" s="3"/>
      <c r="S512" s="3"/>
      <c r="T512" s="2"/>
      <c r="U512" s="2"/>
      <c r="V512" s="2"/>
      <c r="W512" s="4"/>
      <c r="X512" s="4"/>
      <c r="Y512" s="4"/>
      <c r="Z512" s="5"/>
      <c r="AA512" s="5"/>
      <c r="AB512" s="5"/>
      <c r="AC512" s="5"/>
      <c r="AD512" s="5"/>
      <c r="AE512" s="5"/>
      <c r="AF512" s="5"/>
      <c r="AG512" s="2"/>
      <c r="AH512" s="2"/>
      <c r="AI512" s="2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spans="1:48" ht="14.25" customHeight="1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3"/>
      <c r="R513" s="3"/>
      <c r="S513" s="3"/>
      <c r="T513" s="2"/>
      <c r="U513" s="2"/>
      <c r="V513" s="2"/>
      <c r="W513" s="4"/>
      <c r="X513" s="4"/>
      <c r="Y513" s="4"/>
      <c r="Z513" s="5"/>
      <c r="AA513" s="5"/>
      <c r="AB513" s="5"/>
      <c r="AC513" s="5"/>
      <c r="AD513" s="5"/>
      <c r="AE513" s="5"/>
      <c r="AF513" s="5"/>
      <c r="AG513" s="2"/>
      <c r="AH513" s="2"/>
      <c r="AI513" s="2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spans="1:48" ht="14.25" customHeight="1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/>
      <c r="R514" s="3"/>
      <c r="S514" s="3"/>
      <c r="T514" s="2"/>
      <c r="U514" s="2"/>
      <c r="V514" s="2"/>
      <c r="W514" s="4"/>
      <c r="X514" s="4"/>
      <c r="Y514" s="4"/>
      <c r="Z514" s="5"/>
      <c r="AA514" s="5"/>
      <c r="AB514" s="5"/>
      <c r="AC514" s="5"/>
      <c r="AD514" s="5"/>
      <c r="AE514" s="5"/>
      <c r="AF514" s="5"/>
      <c r="AG514" s="2"/>
      <c r="AH514" s="2"/>
      <c r="AI514" s="2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spans="1:48" ht="14.25" customHeight="1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3"/>
      <c r="R515" s="3"/>
      <c r="S515" s="3"/>
      <c r="T515" s="2"/>
      <c r="U515" s="2"/>
      <c r="V515" s="2"/>
      <c r="W515" s="4"/>
      <c r="X515" s="4"/>
      <c r="Y515" s="4"/>
      <c r="Z515" s="5"/>
      <c r="AA515" s="5"/>
      <c r="AB515" s="5"/>
      <c r="AC515" s="5"/>
      <c r="AD515" s="5"/>
      <c r="AE515" s="5"/>
      <c r="AF515" s="5"/>
      <c r="AG515" s="2"/>
      <c r="AH515" s="2"/>
      <c r="AI515" s="2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spans="1:48" ht="14.25" customHeight="1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3"/>
      <c r="R516" s="3"/>
      <c r="S516" s="3"/>
      <c r="T516" s="2"/>
      <c r="U516" s="2"/>
      <c r="V516" s="2"/>
      <c r="W516" s="4"/>
      <c r="X516" s="4"/>
      <c r="Y516" s="4"/>
      <c r="Z516" s="5"/>
      <c r="AA516" s="5"/>
      <c r="AB516" s="5"/>
      <c r="AC516" s="5"/>
      <c r="AD516" s="5"/>
      <c r="AE516" s="5"/>
      <c r="AF516" s="5"/>
      <c r="AG516" s="2"/>
      <c r="AH516" s="2"/>
      <c r="AI516" s="2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spans="1:48" ht="14.25" customHeight="1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3"/>
      <c r="R517" s="3"/>
      <c r="S517" s="3"/>
      <c r="T517" s="2"/>
      <c r="U517" s="2"/>
      <c r="V517" s="2"/>
      <c r="W517" s="4"/>
      <c r="X517" s="4"/>
      <c r="Y517" s="4"/>
      <c r="Z517" s="5"/>
      <c r="AA517" s="5"/>
      <c r="AB517" s="5"/>
      <c r="AC517" s="5"/>
      <c r="AD517" s="5"/>
      <c r="AE517" s="5"/>
      <c r="AF517" s="5"/>
      <c r="AG517" s="2"/>
      <c r="AH517" s="2"/>
      <c r="AI517" s="2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spans="1:48" ht="14.25" customHeight="1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3"/>
      <c r="R518" s="3"/>
      <c r="S518" s="3"/>
      <c r="T518" s="2"/>
      <c r="U518" s="2"/>
      <c r="V518" s="2"/>
      <c r="W518" s="4"/>
      <c r="X518" s="4"/>
      <c r="Y518" s="4"/>
      <c r="Z518" s="5"/>
      <c r="AA518" s="5"/>
      <c r="AB518" s="5"/>
      <c r="AC518" s="5"/>
      <c r="AD518" s="5"/>
      <c r="AE518" s="5"/>
      <c r="AF518" s="5"/>
      <c r="AG518" s="2"/>
      <c r="AH518" s="2"/>
      <c r="AI518" s="2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spans="1:48" ht="14.25" customHeight="1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3"/>
      <c r="R519" s="3"/>
      <c r="S519" s="3"/>
      <c r="T519" s="2"/>
      <c r="U519" s="2"/>
      <c r="V519" s="2"/>
      <c r="W519" s="4"/>
      <c r="X519" s="4"/>
      <c r="Y519" s="4"/>
      <c r="Z519" s="5"/>
      <c r="AA519" s="5"/>
      <c r="AB519" s="5"/>
      <c r="AC519" s="5"/>
      <c r="AD519" s="5"/>
      <c r="AE519" s="5"/>
      <c r="AF519" s="5"/>
      <c r="AG519" s="2"/>
      <c r="AH519" s="2"/>
      <c r="AI519" s="2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pans="1:48" ht="14.25" customHeight="1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3"/>
      <c r="R520" s="3"/>
      <c r="S520" s="3"/>
      <c r="T520" s="2"/>
      <c r="U520" s="2"/>
      <c r="V520" s="2"/>
      <c r="W520" s="4"/>
      <c r="X520" s="4"/>
      <c r="Y520" s="4"/>
      <c r="Z520" s="5"/>
      <c r="AA520" s="5"/>
      <c r="AB520" s="5"/>
      <c r="AC520" s="5"/>
      <c r="AD520" s="5"/>
      <c r="AE520" s="5"/>
      <c r="AF520" s="5"/>
      <c r="AG520" s="2"/>
      <c r="AH520" s="2"/>
      <c r="AI520" s="2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spans="1:48" ht="14.25" customHeight="1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3"/>
      <c r="R521" s="3"/>
      <c r="S521" s="3"/>
      <c r="T521" s="2"/>
      <c r="U521" s="2"/>
      <c r="V521" s="2"/>
      <c r="W521" s="4"/>
      <c r="X521" s="4"/>
      <c r="Y521" s="4"/>
      <c r="Z521" s="5"/>
      <c r="AA521" s="5"/>
      <c r="AB521" s="5"/>
      <c r="AC521" s="5"/>
      <c r="AD521" s="5"/>
      <c r="AE521" s="5"/>
      <c r="AF521" s="5"/>
      <c r="AG521" s="2"/>
      <c r="AH521" s="2"/>
      <c r="AI521" s="2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spans="1:48" ht="14.25" customHeight="1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3"/>
      <c r="R522" s="3"/>
      <c r="S522" s="3"/>
      <c r="T522" s="2"/>
      <c r="U522" s="2"/>
      <c r="V522" s="2"/>
      <c r="W522" s="4"/>
      <c r="X522" s="4"/>
      <c r="Y522" s="4"/>
      <c r="Z522" s="5"/>
      <c r="AA522" s="5"/>
      <c r="AB522" s="5"/>
      <c r="AC522" s="5"/>
      <c r="AD522" s="5"/>
      <c r="AE522" s="5"/>
      <c r="AF522" s="5"/>
      <c r="AG522" s="2"/>
      <c r="AH522" s="2"/>
      <c r="AI522" s="2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spans="1:48" ht="14.25" customHeight="1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3"/>
      <c r="R523" s="3"/>
      <c r="S523" s="3"/>
      <c r="T523" s="2"/>
      <c r="U523" s="2"/>
      <c r="V523" s="2"/>
      <c r="W523" s="4"/>
      <c r="X523" s="4"/>
      <c r="Y523" s="4"/>
      <c r="Z523" s="5"/>
      <c r="AA523" s="5"/>
      <c r="AB523" s="5"/>
      <c r="AC523" s="5"/>
      <c r="AD523" s="5"/>
      <c r="AE523" s="5"/>
      <c r="AF523" s="5"/>
      <c r="AG523" s="2"/>
      <c r="AH523" s="2"/>
      <c r="AI523" s="2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spans="1:48" ht="14.25" customHeight="1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3"/>
      <c r="R524" s="3"/>
      <c r="S524" s="3"/>
      <c r="T524" s="2"/>
      <c r="U524" s="2"/>
      <c r="V524" s="2"/>
      <c r="W524" s="4"/>
      <c r="X524" s="4"/>
      <c r="Y524" s="4"/>
      <c r="Z524" s="5"/>
      <c r="AA524" s="5"/>
      <c r="AB524" s="5"/>
      <c r="AC524" s="5"/>
      <c r="AD524" s="5"/>
      <c r="AE524" s="5"/>
      <c r="AF524" s="5"/>
      <c r="AG524" s="2"/>
      <c r="AH524" s="2"/>
      <c r="AI524" s="2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spans="1:48" ht="14.25" customHeight="1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3"/>
      <c r="R525" s="3"/>
      <c r="S525" s="3"/>
      <c r="T525" s="2"/>
      <c r="U525" s="2"/>
      <c r="V525" s="2"/>
      <c r="W525" s="4"/>
      <c r="X525" s="4"/>
      <c r="Y525" s="4"/>
      <c r="Z525" s="5"/>
      <c r="AA525" s="5"/>
      <c r="AB525" s="5"/>
      <c r="AC525" s="5"/>
      <c r="AD525" s="5"/>
      <c r="AE525" s="5"/>
      <c r="AF525" s="5"/>
      <c r="AG525" s="2"/>
      <c r="AH525" s="2"/>
      <c r="AI525" s="2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spans="1:48" ht="14.25" customHeight="1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/>
      <c r="R526" s="3"/>
      <c r="S526" s="3"/>
      <c r="T526" s="2"/>
      <c r="U526" s="2"/>
      <c r="V526" s="2"/>
      <c r="W526" s="4"/>
      <c r="X526" s="4"/>
      <c r="Y526" s="4"/>
      <c r="Z526" s="5"/>
      <c r="AA526" s="5"/>
      <c r="AB526" s="5"/>
      <c r="AC526" s="5"/>
      <c r="AD526" s="5"/>
      <c r="AE526" s="5"/>
      <c r="AF526" s="5"/>
      <c r="AG526" s="2"/>
      <c r="AH526" s="2"/>
      <c r="AI526" s="2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spans="1:48" ht="14.25" customHeight="1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3"/>
      <c r="R527" s="3"/>
      <c r="S527" s="3"/>
      <c r="T527" s="2"/>
      <c r="U527" s="2"/>
      <c r="V527" s="2"/>
      <c r="W527" s="4"/>
      <c r="X527" s="4"/>
      <c r="Y527" s="4"/>
      <c r="Z527" s="5"/>
      <c r="AA527" s="5"/>
      <c r="AB527" s="5"/>
      <c r="AC527" s="5"/>
      <c r="AD527" s="5"/>
      <c r="AE527" s="5"/>
      <c r="AF527" s="5"/>
      <c r="AG527" s="2"/>
      <c r="AH527" s="2"/>
      <c r="AI527" s="2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spans="1:48" ht="14.25" customHeight="1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3"/>
      <c r="R528" s="3"/>
      <c r="S528" s="3"/>
      <c r="T528" s="2"/>
      <c r="U528" s="2"/>
      <c r="V528" s="2"/>
      <c r="W528" s="4"/>
      <c r="X528" s="4"/>
      <c r="Y528" s="4"/>
      <c r="Z528" s="5"/>
      <c r="AA528" s="5"/>
      <c r="AB528" s="5"/>
      <c r="AC528" s="5"/>
      <c r="AD528" s="5"/>
      <c r="AE528" s="5"/>
      <c r="AF528" s="5"/>
      <c r="AG528" s="2"/>
      <c r="AH528" s="2"/>
      <c r="AI528" s="2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spans="1:48" ht="14.25" customHeight="1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3"/>
      <c r="R529" s="3"/>
      <c r="S529" s="3"/>
      <c r="T529" s="2"/>
      <c r="U529" s="2"/>
      <c r="V529" s="2"/>
      <c r="W529" s="4"/>
      <c r="X529" s="4"/>
      <c r="Y529" s="4"/>
      <c r="Z529" s="5"/>
      <c r="AA529" s="5"/>
      <c r="AB529" s="5"/>
      <c r="AC529" s="5"/>
      <c r="AD529" s="5"/>
      <c r="AE529" s="5"/>
      <c r="AF529" s="5"/>
      <c r="AG529" s="2"/>
      <c r="AH529" s="2"/>
      <c r="AI529" s="2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spans="1:48" ht="14.25" customHeight="1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3"/>
      <c r="R530" s="3"/>
      <c r="S530" s="3"/>
      <c r="T530" s="2"/>
      <c r="U530" s="2"/>
      <c r="V530" s="2"/>
      <c r="W530" s="4"/>
      <c r="X530" s="4"/>
      <c r="Y530" s="4"/>
      <c r="Z530" s="5"/>
      <c r="AA530" s="5"/>
      <c r="AB530" s="5"/>
      <c r="AC530" s="5"/>
      <c r="AD530" s="5"/>
      <c r="AE530" s="5"/>
      <c r="AF530" s="5"/>
      <c r="AG530" s="2"/>
      <c r="AH530" s="2"/>
      <c r="AI530" s="2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spans="1:48" ht="14.25" customHeight="1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3"/>
      <c r="R531" s="3"/>
      <c r="S531" s="3"/>
      <c r="T531" s="2"/>
      <c r="U531" s="2"/>
      <c r="V531" s="2"/>
      <c r="W531" s="4"/>
      <c r="X531" s="4"/>
      <c r="Y531" s="4"/>
      <c r="Z531" s="5"/>
      <c r="AA531" s="5"/>
      <c r="AB531" s="5"/>
      <c r="AC531" s="5"/>
      <c r="AD531" s="5"/>
      <c r="AE531" s="5"/>
      <c r="AF531" s="5"/>
      <c r="AG531" s="2"/>
      <c r="AH531" s="2"/>
      <c r="AI531" s="2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spans="1:48" ht="14.25" customHeight="1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/>
      <c r="R532" s="3"/>
      <c r="S532" s="3"/>
      <c r="T532" s="2"/>
      <c r="U532" s="2"/>
      <c r="V532" s="2"/>
      <c r="W532" s="4"/>
      <c r="X532" s="4"/>
      <c r="Y532" s="4"/>
      <c r="Z532" s="5"/>
      <c r="AA532" s="5"/>
      <c r="AB532" s="5"/>
      <c r="AC532" s="5"/>
      <c r="AD532" s="5"/>
      <c r="AE532" s="5"/>
      <c r="AF532" s="5"/>
      <c r="AG532" s="2"/>
      <c r="AH532" s="2"/>
      <c r="AI532" s="2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spans="1:48" ht="14.25" customHeight="1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3"/>
      <c r="R533" s="3"/>
      <c r="S533" s="3"/>
      <c r="T533" s="2"/>
      <c r="U533" s="2"/>
      <c r="V533" s="2"/>
      <c r="W533" s="4"/>
      <c r="X533" s="4"/>
      <c r="Y533" s="4"/>
      <c r="Z533" s="5"/>
      <c r="AA533" s="5"/>
      <c r="AB533" s="5"/>
      <c r="AC533" s="5"/>
      <c r="AD533" s="5"/>
      <c r="AE533" s="5"/>
      <c r="AF533" s="5"/>
      <c r="AG533" s="2"/>
      <c r="AH533" s="2"/>
      <c r="AI533" s="2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spans="1:48" ht="14.25" customHeight="1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3"/>
      <c r="R534" s="3"/>
      <c r="S534" s="3"/>
      <c r="T534" s="2"/>
      <c r="U534" s="2"/>
      <c r="V534" s="2"/>
      <c r="W534" s="4"/>
      <c r="X534" s="4"/>
      <c r="Y534" s="4"/>
      <c r="Z534" s="5"/>
      <c r="AA534" s="5"/>
      <c r="AB534" s="5"/>
      <c r="AC534" s="5"/>
      <c r="AD534" s="5"/>
      <c r="AE534" s="5"/>
      <c r="AF534" s="5"/>
      <c r="AG534" s="2"/>
      <c r="AH534" s="2"/>
      <c r="AI534" s="2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spans="1:48" ht="14.25" customHeight="1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3"/>
      <c r="R535" s="3"/>
      <c r="S535" s="3"/>
      <c r="T535" s="2"/>
      <c r="U535" s="2"/>
      <c r="V535" s="2"/>
      <c r="W535" s="4"/>
      <c r="X535" s="4"/>
      <c r="Y535" s="4"/>
      <c r="Z535" s="5"/>
      <c r="AA535" s="5"/>
      <c r="AB535" s="5"/>
      <c r="AC535" s="5"/>
      <c r="AD535" s="5"/>
      <c r="AE535" s="5"/>
      <c r="AF535" s="5"/>
      <c r="AG535" s="2"/>
      <c r="AH535" s="2"/>
      <c r="AI535" s="2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spans="1:48" ht="14.25" customHeight="1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3"/>
      <c r="R536" s="3"/>
      <c r="S536" s="3"/>
      <c r="T536" s="2"/>
      <c r="U536" s="2"/>
      <c r="V536" s="2"/>
      <c r="W536" s="4"/>
      <c r="X536" s="4"/>
      <c r="Y536" s="4"/>
      <c r="Z536" s="5"/>
      <c r="AA536" s="5"/>
      <c r="AB536" s="5"/>
      <c r="AC536" s="5"/>
      <c r="AD536" s="5"/>
      <c r="AE536" s="5"/>
      <c r="AF536" s="5"/>
      <c r="AG536" s="2"/>
      <c r="AH536" s="2"/>
      <c r="AI536" s="2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spans="1:48" ht="14.25" customHeight="1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3"/>
      <c r="R537" s="3"/>
      <c r="S537" s="3"/>
      <c r="T537" s="2"/>
      <c r="U537" s="2"/>
      <c r="V537" s="2"/>
      <c r="W537" s="4"/>
      <c r="X537" s="4"/>
      <c r="Y537" s="4"/>
      <c r="Z537" s="5"/>
      <c r="AA537" s="5"/>
      <c r="AB537" s="5"/>
      <c r="AC537" s="5"/>
      <c r="AD537" s="5"/>
      <c r="AE537" s="5"/>
      <c r="AF537" s="5"/>
      <c r="AG537" s="2"/>
      <c r="AH537" s="2"/>
      <c r="AI537" s="2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spans="1:48" ht="14.25" customHeight="1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/>
      <c r="R538" s="3"/>
      <c r="S538" s="3"/>
      <c r="T538" s="2"/>
      <c r="U538" s="2"/>
      <c r="V538" s="2"/>
      <c r="W538" s="4"/>
      <c r="X538" s="4"/>
      <c r="Y538" s="4"/>
      <c r="Z538" s="5"/>
      <c r="AA538" s="5"/>
      <c r="AB538" s="5"/>
      <c r="AC538" s="5"/>
      <c r="AD538" s="5"/>
      <c r="AE538" s="5"/>
      <c r="AF538" s="5"/>
      <c r="AG538" s="2"/>
      <c r="AH538" s="2"/>
      <c r="AI538" s="2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spans="1:48" ht="14.25" customHeight="1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3"/>
      <c r="R539" s="3"/>
      <c r="S539" s="3"/>
      <c r="T539" s="2"/>
      <c r="U539" s="2"/>
      <c r="V539" s="2"/>
      <c r="W539" s="4"/>
      <c r="X539" s="4"/>
      <c r="Y539" s="4"/>
      <c r="Z539" s="5"/>
      <c r="AA539" s="5"/>
      <c r="AB539" s="5"/>
      <c r="AC539" s="5"/>
      <c r="AD539" s="5"/>
      <c r="AE539" s="5"/>
      <c r="AF539" s="5"/>
      <c r="AG539" s="2"/>
      <c r="AH539" s="2"/>
      <c r="AI539" s="2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spans="1:48" ht="14.25" customHeight="1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3"/>
      <c r="R540" s="3"/>
      <c r="S540" s="3"/>
      <c r="T540" s="2"/>
      <c r="U540" s="2"/>
      <c r="V540" s="2"/>
      <c r="W540" s="4"/>
      <c r="X540" s="4"/>
      <c r="Y540" s="4"/>
      <c r="Z540" s="5"/>
      <c r="AA540" s="5"/>
      <c r="AB540" s="5"/>
      <c r="AC540" s="5"/>
      <c r="AD540" s="5"/>
      <c r="AE540" s="5"/>
      <c r="AF540" s="5"/>
      <c r="AG540" s="2"/>
      <c r="AH540" s="2"/>
      <c r="AI540" s="2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spans="1:48" ht="14.25" customHeight="1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3"/>
      <c r="R541" s="3"/>
      <c r="S541" s="3"/>
      <c r="T541" s="2"/>
      <c r="U541" s="2"/>
      <c r="V541" s="2"/>
      <c r="W541" s="4"/>
      <c r="X541" s="4"/>
      <c r="Y541" s="4"/>
      <c r="Z541" s="5"/>
      <c r="AA541" s="5"/>
      <c r="AB541" s="5"/>
      <c r="AC541" s="5"/>
      <c r="AD541" s="5"/>
      <c r="AE541" s="5"/>
      <c r="AF541" s="5"/>
      <c r="AG541" s="2"/>
      <c r="AH541" s="2"/>
      <c r="AI541" s="2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spans="1:48" ht="14.25" customHeight="1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3"/>
      <c r="R542" s="3"/>
      <c r="S542" s="3"/>
      <c r="T542" s="2"/>
      <c r="U542" s="2"/>
      <c r="V542" s="2"/>
      <c r="W542" s="4"/>
      <c r="X542" s="4"/>
      <c r="Y542" s="4"/>
      <c r="Z542" s="5"/>
      <c r="AA542" s="5"/>
      <c r="AB542" s="5"/>
      <c r="AC542" s="5"/>
      <c r="AD542" s="5"/>
      <c r="AE542" s="5"/>
      <c r="AF542" s="5"/>
      <c r="AG542" s="2"/>
      <c r="AH542" s="2"/>
      <c r="AI542" s="2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spans="1:48" ht="14.25" customHeight="1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3"/>
      <c r="R543" s="3"/>
      <c r="S543" s="3"/>
      <c r="T543" s="2"/>
      <c r="U543" s="2"/>
      <c r="V543" s="2"/>
      <c r="W543" s="4"/>
      <c r="X543" s="4"/>
      <c r="Y543" s="4"/>
      <c r="Z543" s="5"/>
      <c r="AA543" s="5"/>
      <c r="AB543" s="5"/>
      <c r="AC543" s="5"/>
      <c r="AD543" s="5"/>
      <c r="AE543" s="5"/>
      <c r="AF543" s="5"/>
      <c r="AG543" s="2"/>
      <c r="AH543" s="2"/>
      <c r="AI543" s="2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spans="1:48" ht="14.25" customHeight="1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/>
      <c r="R544" s="3"/>
      <c r="S544" s="3"/>
      <c r="T544" s="2"/>
      <c r="U544" s="2"/>
      <c r="V544" s="2"/>
      <c r="W544" s="4"/>
      <c r="X544" s="4"/>
      <c r="Y544" s="4"/>
      <c r="Z544" s="5"/>
      <c r="AA544" s="5"/>
      <c r="AB544" s="5"/>
      <c r="AC544" s="5"/>
      <c r="AD544" s="5"/>
      <c r="AE544" s="5"/>
      <c r="AF544" s="5"/>
      <c r="AG544" s="2"/>
      <c r="AH544" s="2"/>
      <c r="AI544" s="2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spans="1:48" ht="14.25" customHeight="1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3"/>
      <c r="R545" s="3"/>
      <c r="S545" s="3"/>
      <c r="T545" s="2"/>
      <c r="U545" s="2"/>
      <c r="V545" s="2"/>
      <c r="W545" s="4"/>
      <c r="X545" s="4"/>
      <c r="Y545" s="4"/>
      <c r="Z545" s="5"/>
      <c r="AA545" s="5"/>
      <c r="AB545" s="5"/>
      <c r="AC545" s="5"/>
      <c r="AD545" s="5"/>
      <c r="AE545" s="5"/>
      <c r="AF545" s="5"/>
      <c r="AG545" s="2"/>
      <c r="AH545" s="2"/>
      <c r="AI545" s="2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spans="1:48" ht="14.25" customHeight="1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3"/>
      <c r="R546" s="3"/>
      <c r="S546" s="3"/>
      <c r="T546" s="2"/>
      <c r="U546" s="2"/>
      <c r="V546" s="2"/>
      <c r="W546" s="4"/>
      <c r="X546" s="4"/>
      <c r="Y546" s="4"/>
      <c r="Z546" s="5"/>
      <c r="AA546" s="5"/>
      <c r="AB546" s="5"/>
      <c r="AC546" s="5"/>
      <c r="AD546" s="5"/>
      <c r="AE546" s="5"/>
      <c r="AF546" s="5"/>
      <c r="AG546" s="2"/>
      <c r="AH546" s="2"/>
      <c r="AI546" s="2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spans="1:48" ht="14.25" customHeight="1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3"/>
      <c r="R547" s="3"/>
      <c r="S547" s="3"/>
      <c r="T547" s="2"/>
      <c r="U547" s="2"/>
      <c r="V547" s="2"/>
      <c r="W547" s="4"/>
      <c r="X547" s="4"/>
      <c r="Y547" s="4"/>
      <c r="Z547" s="5"/>
      <c r="AA547" s="5"/>
      <c r="AB547" s="5"/>
      <c r="AC547" s="5"/>
      <c r="AD547" s="5"/>
      <c r="AE547" s="5"/>
      <c r="AF547" s="5"/>
      <c r="AG547" s="2"/>
      <c r="AH547" s="2"/>
      <c r="AI547" s="2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spans="1:48" ht="14.25" customHeight="1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/>
      <c r="R548" s="3"/>
      <c r="S548" s="3"/>
      <c r="T548" s="2"/>
      <c r="U548" s="2"/>
      <c r="V548" s="2"/>
      <c r="W548" s="4"/>
      <c r="X548" s="4"/>
      <c r="Y548" s="4"/>
      <c r="Z548" s="5"/>
      <c r="AA548" s="5"/>
      <c r="AB548" s="5"/>
      <c r="AC548" s="5"/>
      <c r="AD548" s="5"/>
      <c r="AE548" s="5"/>
      <c r="AF548" s="5"/>
      <c r="AG548" s="2"/>
      <c r="AH548" s="2"/>
      <c r="AI548" s="2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spans="1:48" ht="14.25" customHeight="1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3"/>
      <c r="R549" s="3"/>
      <c r="S549" s="3"/>
      <c r="T549" s="2"/>
      <c r="U549" s="2"/>
      <c r="V549" s="2"/>
      <c r="W549" s="4"/>
      <c r="X549" s="4"/>
      <c r="Y549" s="4"/>
      <c r="Z549" s="5"/>
      <c r="AA549" s="5"/>
      <c r="AB549" s="5"/>
      <c r="AC549" s="5"/>
      <c r="AD549" s="5"/>
      <c r="AE549" s="5"/>
      <c r="AF549" s="5"/>
      <c r="AG549" s="2"/>
      <c r="AH549" s="2"/>
      <c r="AI549" s="2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spans="1:48" ht="14.25" customHeight="1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/>
      <c r="R550" s="3"/>
      <c r="S550" s="3"/>
      <c r="T550" s="2"/>
      <c r="U550" s="2"/>
      <c r="V550" s="2"/>
      <c r="W550" s="4"/>
      <c r="X550" s="4"/>
      <c r="Y550" s="4"/>
      <c r="Z550" s="5"/>
      <c r="AA550" s="5"/>
      <c r="AB550" s="5"/>
      <c r="AC550" s="5"/>
      <c r="AD550" s="5"/>
      <c r="AE550" s="5"/>
      <c r="AF550" s="5"/>
      <c r="AG550" s="2"/>
      <c r="AH550" s="2"/>
      <c r="AI550" s="2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spans="1:48" ht="14.25" customHeight="1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3"/>
      <c r="R551" s="3"/>
      <c r="S551" s="3"/>
      <c r="T551" s="2"/>
      <c r="U551" s="2"/>
      <c r="V551" s="2"/>
      <c r="W551" s="4"/>
      <c r="X551" s="4"/>
      <c r="Y551" s="4"/>
      <c r="Z551" s="5"/>
      <c r="AA551" s="5"/>
      <c r="AB551" s="5"/>
      <c r="AC551" s="5"/>
      <c r="AD551" s="5"/>
      <c r="AE551" s="5"/>
      <c r="AF551" s="5"/>
      <c r="AG551" s="2"/>
      <c r="AH551" s="2"/>
      <c r="AI551" s="2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spans="1:48" ht="14.25" customHeight="1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3"/>
      <c r="R552" s="3"/>
      <c r="S552" s="3"/>
      <c r="T552" s="2"/>
      <c r="U552" s="2"/>
      <c r="V552" s="2"/>
      <c r="W552" s="4"/>
      <c r="X552" s="4"/>
      <c r="Y552" s="4"/>
      <c r="Z552" s="5"/>
      <c r="AA552" s="5"/>
      <c r="AB552" s="5"/>
      <c r="AC552" s="5"/>
      <c r="AD552" s="5"/>
      <c r="AE552" s="5"/>
      <c r="AF552" s="5"/>
      <c r="AG552" s="2"/>
      <c r="AH552" s="2"/>
      <c r="AI552" s="2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spans="1:48" ht="14.25" customHeight="1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3"/>
      <c r="R553" s="3"/>
      <c r="S553" s="3"/>
      <c r="T553" s="2"/>
      <c r="U553" s="2"/>
      <c r="V553" s="2"/>
      <c r="W553" s="4"/>
      <c r="X553" s="4"/>
      <c r="Y553" s="4"/>
      <c r="Z553" s="5"/>
      <c r="AA553" s="5"/>
      <c r="AB553" s="5"/>
      <c r="AC553" s="5"/>
      <c r="AD553" s="5"/>
      <c r="AE553" s="5"/>
      <c r="AF553" s="5"/>
      <c r="AG553" s="2"/>
      <c r="AH553" s="2"/>
      <c r="AI553" s="2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spans="1:48" ht="14.25" customHeight="1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3"/>
      <c r="R554" s="3"/>
      <c r="S554" s="3"/>
      <c r="T554" s="2"/>
      <c r="U554" s="2"/>
      <c r="V554" s="2"/>
      <c r="W554" s="4"/>
      <c r="X554" s="4"/>
      <c r="Y554" s="4"/>
      <c r="Z554" s="5"/>
      <c r="AA554" s="5"/>
      <c r="AB554" s="5"/>
      <c r="AC554" s="5"/>
      <c r="AD554" s="5"/>
      <c r="AE554" s="5"/>
      <c r="AF554" s="5"/>
      <c r="AG554" s="2"/>
      <c r="AH554" s="2"/>
      <c r="AI554" s="2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spans="1:48" ht="14.25" customHeight="1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3"/>
      <c r="R555" s="3"/>
      <c r="S555" s="3"/>
      <c r="T555" s="2"/>
      <c r="U555" s="2"/>
      <c r="V555" s="2"/>
      <c r="W555" s="4"/>
      <c r="X555" s="4"/>
      <c r="Y555" s="4"/>
      <c r="Z555" s="5"/>
      <c r="AA555" s="5"/>
      <c r="AB555" s="5"/>
      <c r="AC555" s="5"/>
      <c r="AD555" s="5"/>
      <c r="AE555" s="5"/>
      <c r="AF555" s="5"/>
      <c r="AG555" s="2"/>
      <c r="AH555" s="2"/>
      <c r="AI555" s="2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spans="1:48" ht="14.25" customHeight="1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3"/>
      <c r="R556" s="3"/>
      <c r="S556" s="3"/>
      <c r="T556" s="2"/>
      <c r="U556" s="2"/>
      <c r="V556" s="2"/>
      <c r="W556" s="4"/>
      <c r="X556" s="4"/>
      <c r="Y556" s="4"/>
      <c r="Z556" s="5"/>
      <c r="AA556" s="5"/>
      <c r="AB556" s="5"/>
      <c r="AC556" s="5"/>
      <c r="AD556" s="5"/>
      <c r="AE556" s="5"/>
      <c r="AF556" s="5"/>
      <c r="AG556" s="2"/>
      <c r="AH556" s="2"/>
      <c r="AI556" s="2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spans="1:48" ht="14.25" customHeight="1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3"/>
      <c r="R557" s="3"/>
      <c r="S557" s="3"/>
      <c r="T557" s="2"/>
      <c r="U557" s="2"/>
      <c r="V557" s="2"/>
      <c r="W557" s="4"/>
      <c r="X557" s="4"/>
      <c r="Y557" s="4"/>
      <c r="Z557" s="5"/>
      <c r="AA557" s="5"/>
      <c r="AB557" s="5"/>
      <c r="AC557" s="5"/>
      <c r="AD557" s="5"/>
      <c r="AE557" s="5"/>
      <c r="AF557" s="5"/>
      <c r="AG557" s="2"/>
      <c r="AH557" s="2"/>
      <c r="AI557" s="2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spans="1:48" ht="14.25" customHeight="1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3"/>
      <c r="R558" s="3"/>
      <c r="S558" s="3"/>
      <c r="T558" s="2"/>
      <c r="U558" s="2"/>
      <c r="V558" s="2"/>
      <c r="W558" s="4"/>
      <c r="X558" s="4"/>
      <c r="Y558" s="4"/>
      <c r="Z558" s="5"/>
      <c r="AA558" s="5"/>
      <c r="AB558" s="5"/>
      <c r="AC558" s="5"/>
      <c r="AD558" s="5"/>
      <c r="AE558" s="5"/>
      <c r="AF558" s="5"/>
      <c r="AG558" s="2"/>
      <c r="AH558" s="2"/>
      <c r="AI558" s="2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spans="1:48" ht="14.25" customHeight="1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3"/>
      <c r="R559" s="3"/>
      <c r="S559" s="3"/>
      <c r="T559" s="2"/>
      <c r="U559" s="2"/>
      <c r="V559" s="2"/>
      <c r="W559" s="4"/>
      <c r="X559" s="4"/>
      <c r="Y559" s="4"/>
      <c r="Z559" s="5"/>
      <c r="AA559" s="5"/>
      <c r="AB559" s="5"/>
      <c r="AC559" s="5"/>
      <c r="AD559" s="5"/>
      <c r="AE559" s="5"/>
      <c r="AF559" s="5"/>
      <c r="AG559" s="2"/>
      <c r="AH559" s="2"/>
      <c r="AI559" s="2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spans="1:48" ht="14.25" customHeight="1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3"/>
      <c r="R560" s="3"/>
      <c r="S560" s="3"/>
      <c r="T560" s="2"/>
      <c r="U560" s="2"/>
      <c r="V560" s="2"/>
      <c r="W560" s="4"/>
      <c r="X560" s="4"/>
      <c r="Y560" s="4"/>
      <c r="Z560" s="5"/>
      <c r="AA560" s="5"/>
      <c r="AB560" s="5"/>
      <c r="AC560" s="5"/>
      <c r="AD560" s="5"/>
      <c r="AE560" s="5"/>
      <c r="AF560" s="5"/>
      <c r="AG560" s="2"/>
      <c r="AH560" s="2"/>
      <c r="AI560" s="2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spans="1:48" ht="14.25" customHeight="1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3"/>
      <c r="R561" s="3"/>
      <c r="S561" s="3"/>
      <c r="T561" s="2"/>
      <c r="U561" s="2"/>
      <c r="V561" s="2"/>
      <c r="W561" s="4"/>
      <c r="X561" s="4"/>
      <c r="Y561" s="4"/>
      <c r="Z561" s="5"/>
      <c r="AA561" s="5"/>
      <c r="AB561" s="5"/>
      <c r="AC561" s="5"/>
      <c r="AD561" s="5"/>
      <c r="AE561" s="5"/>
      <c r="AF561" s="5"/>
      <c r="AG561" s="2"/>
      <c r="AH561" s="2"/>
      <c r="AI561" s="2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spans="1:48" ht="14.25" customHeight="1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3"/>
      <c r="R562" s="3"/>
      <c r="S562" s="3"/>
      <c r="T562" s="2"/>
      <c r="U562" s="2"/>
      <c r="V562" s="2"/>
      <c r="W562" s="4"/>
      <c r="X562" s="4"/>
      <c r="Y562" s="4"/>
      <c r="Z562" s="5"/>
      <c r="AA562" s="5"/>
      <c r="AB562" s="5"/>
      <c r="AC562" s="5"/>
      <c r="AD562" s="5"/>
      <c r="AE562" s="5"/>
      <c r="AF562" s="5"/>
      <c r="AG562" s="2"/>
      <c r="AH562" s="2"/>
      <c r="AI562" s="2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spans="1:48" ht="14.25" customHeight="1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3"/>
      <c r="R563" s="3"/>
      <c r="S563" s="3"/>
      <c r="T563" s="2"/>
      <c r="U563" s="2"/>
      <c r="V563" s="2"/>
      <c r="W563" s="4"/>
      <c r="X563" s="4"/>
      <c r="Y563" s="4"/>
      <c r="Z563" s="5"/>
      <c r="AA563" s="5"/>
      <c r="AB563" s="5"/>
      <c r="AC563" s="5"/>
      <c r="AD563" s="5"/>
      <c r="AE563" s="5"/>
      <c r="AF563" s="5"/>
      <c r="AG563" s="2"/>
      <c r="AH563" s="2"/>
      <c r="AI563" s="2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spans="1:48" ht="14.25" customHeight="1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3"/>
      <c r="R564" s="3"/>
      <c r="S564" s="3"/>
      <c r="T564" s="2"/>
      <c r="U564" s="2"/>
      <c r="V564" s="2"/>
      <c r="W564" s="4"/>
      <c r="X564" s="4"/>
      <c r="Y564" s="4"/>
      <c r="Z564" s="5"/>
      <c r="AA564" s="5"/>
      <c r="AB564" s="5"/>
      <c r="AC564" s="5"/>
      <c r="AD564" s="5"/>
      <c r="AE564" s="5"/>
      <c r="AF564" s="5"/>
      <c r="AG564" s="2"/>
      <c r="AH564" s="2"/>
      <c r="AI564" s="2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spans="1:48" ht="14.25" customHeight="1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3"/>
      <c r="R565" s="3"/>
      <c r="S565" s="3"/>
      <c r="T565" s="2"/>
      <c r="U565" s="2"/>
      <c r="V565" s="2"/>
      <c r="W565" s="4"/>
      <c r="X565" s="4"/>
      <c r="Y565" s="4"/>
      <c r="Z565" s="5"/>
      <c r="AA565" s="5"/>
      <c r="AB565" s="5"/>
      <c r="AC565" s="5"/>
      <c r="AD565" s="5"/>
      <c r="AE565" s="5"/>
      <c r="AF565" s="5"/>
      <c r="AG565" s="2"/>
      <c r="AH565" s="2"/>
      <c r="AI565" s="2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spans="1:48" ht="14.25" customHeight="1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3"/>
      <c r="R566" s="3"/>
      <c r="S566" s="3"/>
      <c r="T566" s="2"/>
      <c r="U566" s="2"/>
      <c r="V566" s="2"/>
      <c r="W566" s="4"/>
      <c r="X566" s="4"/>
      <c r="Y566" s="4"/>
      <c r="Z566" s="5"/>
      <c r="AA566" s="5"/>
      <c r="AB566" s="5"/>
      <c r="AC566" s="5"/>
      <c r="AD566" s="5"/>
      <c r="AE566" s="5"/>
      <c r="AF566" s="5"/>
      <c r="AG566" s="2"/>
      <c r="AH566" s="2"/>
      <c r="AI566" s="2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spans="1:48" ht="14.25" customHeight="1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3"/>
      <c r="R567" s="3"/>
      <c r="S567" s="3"/>
      <c r="T567" s="2"/>
      <c r="U567" s="2"/>
      <c r="V567" s="2"/>
      <c r="W567" s="4"/>
      <c r="X567" s="4"/>
      <c r="Y567" s="4"/>
      <c r="Z567" s="5"/>
      <c r="AA567" s="5"/>
      <c r="AB567" s="5"/>
      <c r="AC567" s="5"/>
      <c r="AD567" s="5"/>
      <c r="AE567" s="5"/>
      <c r="AF567" s="5"/>
      <c r="AG567" s="2"/>
      <c r="AH567" s="2"/>
      <c r="AI567" s="2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spans="1:48" ht="14.25" customHeight="1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3"/>
      <c r="R568" s="3"/>
      <c r="S568" s="3"/>
      <c r="T568" s="2"/>
      <c r="U568" s="2"/>
      <c r="V568" s="2"/>
      <c r="W568" s="4"/>
      <c r="X568" s="4"/>
      <c r="Y568" s="4"/>
      <c r="Z568" s="5"/>
      <c r="AA568" s="5"/>
      <c r="AB568" s="5"/>
      <c r="AC568" s="5"/>
      <c r="AD568" s="5"/>
      <c r="AE568" s="5"/>
      <c r="AF568" s="5"/>
      <c r="AG568" s="2"/>
      <c r="AH568" s="2"/>
      <c r="AI568" s="2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spans="1:48" ht="14.25" customHeight="1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3"/>
      <c r="R569" s="3"/>
      <c r="S569" s="3"/>
      <c r="T569" s="2"/>
      <c r="U569" s="2"/>
      <c r="V569" s="2"/>
      <c r="W569" s="4"/>
      <c r="X569" s="4"/>
      <c r="Y569" s="4"/>
      <c r="Z569" s="5"/>
      <c r="AA569" s="5"/>
      <c r="AB569" s="5"/>
      <c r="AC569" s="5"/>
      <c r="AD569" s="5"/>
      <c r="AE569" s="5"/>
      <c r="AF569" s="5"/>
      <c r="AG569" s="2"/>
      <c r="AH569" s="2"/>
      <c r="AI569" s="2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spans="1:48" ht="14.25" customHeight="1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3"/>
      <c r="R570" s="3"/>
      <c r="S570" s="3"/>
      <c r="T570" s="2"/>
      <c r="U570" s="2"/>
      <c r="V570" s="2"/>
      <c r="W570" s="4"/>
      <c r="X570" s="4"/>
      <c r="Y570" s="4"/>
      <c r="Z570" s="5"/>
      <c r="AA570" s="5"/>
      <c r="AB570" s="5"/>
      <c r="AC570" s="5"/>
      <c r="AD570" s="5"/>
      <c r="AE570" s="5"/>
      <c r="AF570" s="5"/>
      <c r="AG570" s="2"/>
      <c r="AH570" s="2"/>
      <c r="AI570" s="2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spans="1:48" ht="14.25" customHeight="1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3"/>
      <c r="R571" s="3"/>
      <c r="S571" s="3"/>
      <c r="T571" s="2"/>
      <c r="U571" s="2"/>
      <c r="V571" s="2"/>
      <c r="W571" s="4"/>
      <c r="X571" s="4"/>
      <c r="Y571" s="4"/>
      <c r="Z571" s="5"/>
      <c r="AA571" s="5"/>
      <c r="AB571" s="5"/>
      <c r="AC571" s="5"/>
      <c r="AD571" s="5"/>
      <c r="AE571" s="5"/>
      <c r="AF571" s="5"/>
      <c r="AG571" s="2"/>
      <c r="AH571" s="2"/>
      <c r="AI571" s="2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spans="1:48" ht="14.25" customHeight="1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3"/>
      <c r="R572" s="3"/>
      <c r="S572" s="3"/>
      <c r="T572" s="2"/>
      <c r="U572" s="2"/>
      <c r="V572" s="2"/>
      <c r="W572" s="4"/>
      <c r="X572" s="4"/>
      <c r="Y572" s="4"/>
      <c r="Z572" s="5"/>
      <c r="AA572" s="5"/>
      <c r="AB572" s="5"/>
      <c r="AC572" s="5"/>
      <c r="AD572" s="5"/>
      <c r="AE572" s="5"/>
      <c r="AF572" s="5"/>
      <c r="AG572" s="2"/>
      <c r="AH572" s="2"/>
      <c r="AI572" s="2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spans="1:48" ht="14.25" customHeight="1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3"/>
      <c r="R573" s="3"/>
      <c r="S573" s="3"/>
      <c r="T573" s="2"/>
      <c r="U573" s="2"/>
      <c r="V573" s="2"/>
      <c r="W573" s="4"/>
      <c r="X573" s="4"/>
      <c r="Y573" s="4"/>
      <c r="Z573" s="5"/>
      <c r="AA573" s="5"/>
      <c r="AB573" s="5"/>
      <c r="AC573" s="5"/>
      <c r="AD573" s="5"/>
      <c r="AE573" s="5"/>
      <c r="AF573" s="5"/>
      <c r="AG573" s="2"/>
      <c r="AH573" s="2"/>
      <c r="AI573" s="2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spans="1:48" ht="14.25" customHeight="1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3"/>
      <c r="R574" s="3"/>
      <c r="S574" s="3"/>
      <c r="T574" s="2"/>
      <c r="U574" s="2"/>
      <c r="V574" s="2"/>
      <c r="W574" s="4"/>
      <c r="X574" s="4"/>
      <c r="Y574" s="4"/>
      <c r="Z574" s="5"/>
      <c r="AA574" s="5"/>
      <c r="AB574" s="5"/>
      <c r="AC574" s="5"/>
      <c r="AD574" s="5"/>
      <c r="AE574" s="5"/>
      <c r="AF574" s="5"/>
      <c r="AG574" s="2"/>
      <c r="AH574" s="2"/>
      <c r="AI574" s="2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spans="1:48" ht="14.25" customHeight="1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3"/>
      <c r="R575" s="3"/>
      <c r="S575" s="3"/>
      <c r="T575" s="2"/>
      <c r="U575" s="2"/>
      <c r="V575" s="2"/>
      <c r="W575" s="4"/>
      <c r="X575" s="4"/>
      <c r="Y575" s="4"/>
      <c r="Z575" s="5"/>
      <c r="AA575" s="5"/>
      <c r="AB575" s="5"/>
      <c r="AC575" s="5"/>
      <c r="AD575" s="5"/>
      <c r="AE575" s="5"/>
      <c r="AF575" s="5"/>
      <c r="AG575" s="2"/>
      <c r="AH575" s="2"/>
      <c r="AI575" s="2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spans="1:48" ht="14.25" customHeight="1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3"/>
      <c r="R576" s="3"/>
      <c r="S576" s="3"/>
      <c r="T576" s="2"/>
      <c r="U576" s="2"/>
      <c r="V576" s="2"/>
      <c r="W576" s="4"/>
      <c r="X576" s="4"/>
      <c r="Y576" s="4"/>
      <c r="Z576" s="5"/>
      <c r="AA576" s="5"/>
      <c r="AB576" s="5"/>
      <c r="AC576" s="5"/>
      <c r="AD576" s="5"/>
      <c r="AE576" s="5"/>
      <c r="AF576" s="5"/>
      <c r="AG576" s="2"/>
      <c r="AH576" s="2"/>
      <c r="AI576" s="2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spans="1:48" ht="14.25" customHeight="1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3"/>
      <c r="R577" s="3"/>
      <c r="S577" s="3"/>
      <c r="T577" s="2"/>
      <c r="U577" s="2"/>
      <c r="V577" s="2"/>
      <c r="W577" s="4"/>
      <c r="X577" s="4"/>
      <c r="Y577" s="4"/>
      <c r="Z577" s="5"/>
      <c r="AA577" s="5"/>
      <c r="AB577" s="5"/>
      <c r="AC577" s="5"/>
      <c r="AD577" s="5"/>
      <c r="AE577" s="5"/>
      <c r="AF577" s="5"/>
      <c r="AG577" s="2"/>
      <c r="AH577" s="2"/>
      <c r="AI577" s="2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spans="1:48" ht="14.25" customHeight="1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3"/>
      <c r="R578" s="3"/>
      <c r="S578" s="3"/>
      <c r="T578" s="2"/>
      <c r="U578" s="2"/>
      <c r="V578" s="2"/>
      <c r="W578" s="4"/>
      <c r="X578" s="4"/>
      <c r="Y578" s="4"/>
      <c r="Z578" s="5"/>
      <c r="AA578" s="5"/>
      <c r="AB578" s="5"/>
      <c r="AC578" s="5"/>
      <c r="AD578" s="5"/>
      <c r="AE578" s="5"/>
      <c r="AF578" s="5"/>
      <c r="AG578" s="2"/>
      <c r="AH578" s="2"/>
      <c r="AI578" s="2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spans="1:48" ht="14.25" customHeight="1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3"/>
      <c r="R579" s="3"/>
      <c r="S579" s="3"/>
      <c r="T579" s="2"/>
      <c r="U579" s="2"/>
      <c r="V579" s="2"/>
      <c r="W579" s="4"/>
      <c r="X579" s="4"/>
      <c r="Y579" s="4"/>
      <c r="Z579" s="5"/>
      <c r="AA579" s="5"/>
      <c r="AB579" s="5"/>
      <c r="AC579" s="5"/>
      <c r="AD579" s="5"/>
      <c r="AE579" s="5"/>
      <c r="AF579" s="5"/>
      <c r="AG579" s="2"/>
      <c r="AH579" s="2"/>
      <c r="AI579" s="2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spans="1:48" ht="14.25" customHeight="1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3"/>
      <c r="R580" s="3"/>
      <c r="S580" s="3"/>
      <c r="T580" s="2"/>
      <c r="U580" s="2"/>
      <c r="V580" s="2"/>
      <c r="W580" s="4"/>
      <c r="X580" s="4"/>
      <c r="Y580" s="4"/>
      <c r="Z580" s="5"/>
      <c r="AA580" s="5"/>
      <c r="AB580" s="5"/>
      <c r="AC580" s="5"/>
      <c r="AD580" s="5"/>
      <c r="AE580" s="5"/>
      <c r="AF580" s="5"/>
      <c r="AG580" s="2"/>
      <c r="AH580" s="2"/>
      <c r="AI580" s="2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spans="1:48" ht="14.25" customHeight="1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3"/>
      <c r="R581" s="3"/>
      <c r="S581" s="3"/>
      <c r="T581" s="2"/>
      <c r="U581" s="2"/>
      <c r="V581" s="2"/>
      <c r="W581" s="4"/>
      <c r="X581" s="4"/>
      <c r="Y581" s="4"/>
      <c r="Z581" s="5"/>
      <c r="AA581" s="5"/>
      <c r="AB581" s="5"/>
      <c r="AC581" s="5"/>
      <c r="AD581" s="5"/>
      <c r="AE581" s="5"/>
      <c r="AF581" s="5"/>
      <c r="AG581" s="2"/>
      <c r="AH581" s="2"/>
      <c r="AI581" s="2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spans="1:48" ht="14.25" customHeight="1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3"/>
      <c r="R582" s="3"/>
      <c r="S582" s="3"/>
      <c r="T582" s="2"/>
      <c r="U582" s="2"/>
      <c r="V582" s="2"/>
      <c r="W582" s="4"/>
      <c r="X582" s="4"/>
      <c r="Y582" s="4"/>
      <c r="Z582" s="5"/>
      <c r="AA582" s="5"/>
      <c r="AB582" s="5"/>
      <c r="AC582" s="5"/>
      <c r="AD582" s="5"/>
      <c r="AE582" s="5"/>
      <c r="AF582" s="5"/>
      <c r="AG582" s="2"/>
      <c r="AH582" s="2"/>
      <c r="AI582" s="2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spans="1:48" ht="14.25" customHeight="1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3"/>
      <c r="R583" s="3"/>
      <c r="S583" s="3"/>
      <c r="T583" s="2"/>
      <c r="U583" s="2"/>
      <c r="V583" s="2"/>
      <c r="W583" s="4"/>
      <c r="X583" s="4"/>
      <c r="Y583" s="4"/>
      <c r="Z583" s="5"/>
      <c r="AA583" s="5"/>
      <c r="AB583" s="5"/>
      <c r="AC583" s="5"/>
      <c r="AD583" s="5"/>
      <c r="AE583" s="5"/>
      <c r="AF583" s="5"/>
      <c r="AG583" s="2"/>
      <c r="AH583" s="2"/>
      <c r="AI583" s="2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spans="1:48" ht="14.25" customHeight="1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3"/>
      <c r="R584" s="3"/>
      <c r="S584" s="3"/>
      <c r="T584" s="2"/>
      <c r="U584" s="2"/>
      <c r="V584" s="2"/>
      <c r="W584" s="4"/>
      <c r="X584" s="4"/>
      <c r="Y584" s="4"/>
      <c r="Z584" s="5"/>
      <c r="AA584" s="5"/>
      <c r="AB584" s="5"/>
      <c r="AC584" s="5"/>
      <c r="AD584" s="5"/>
      <c r="AE584" s="5"/>
      <c r="AF584" s="5"/>
      <c r="AG584" s="2"/>
      <c r="AH584" s="2"/>
      <c r="AI584" s="2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spans="1:48" ht="14.25" customHeight="1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3"/>
      <c r="R585" s="3"/>
      <c r="S585" s="3"/>
      <c r="T585" s="2"/>
      <c r="U585" s="2"/>
      <c r="V585" s="2"/>
      <c r="W585" s="4"/>
      <c r="X585" s="4"/>
      <c r="Y585" s="4"/>
      <c r="Z585" s="5"/>
      <c r="AA585" s="5"/>
      <c r="AB585" s="5"/>
      <c r="AC585" s="5"/>
      <c r="AD585" s="5"/>
      <c r="AE585" s="5"/>
      <c r="AF585" s="5"/>
      <c r="AG585" s="2"/>
      <c r="AH585" s="2"/>
      <c r="AI585" s="2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spans="1:48" ht="14.25" customHeight="1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3"/>
      <c r="R586" s="3"/>
      <c r="S586" s="3"/>
      <c r="T586" s="2"/>
      <c r="U586" s="2"/>
      <c r="V586" s="2"/>
      <c r="W586" s="4"/>
      <c r="X586" s="4"/>
      <c r="Y586" s="4"/>
      <c r="Z586" s="5"/>
      <c r="AA586" s="5"/>
      <c r="AB586" s="5"/>
      <c r="AC586" s="5"/>
      <c r="AD586" s="5"/>
      <c r="AE586" s="5"/>
      <c r="AF586" s="5"/>
      <c r="AG586" s="2"/>
      <c r="AH586" s="2"/>
      <c r="AI586" s="2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spans="1:48" ht="14.25" customHeight="1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3"/>
      <c r="R587" s="3"/>
      <c r="S587" s="3"/>
      <c r="T587" s="2"/>
      <c r="U587" s="2"/>
      <c r="V587" s="2"/>
      <c r="W587" s="4"/>
      <c r="X587" s="4"/>
      <c r="Y587" s="4"/>
      <c r="Z587" s="5"/>
      <c r="AA587" s="5"/>
      <c r="AB587" s="5"/>
      <c r="AC587" s="5"/>
      <c r="AD587" s="5"/>
      <c r="AE587" s="5"/>
      <c r="AF587" s="5"/>
      <c r="AG587" s="2"/>
      <c r="AH587" s="2"/>
      <c r="AI587" s="2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spans="1:48" ht="14.25" customHeight="1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3"/>
      <c r="R588" s="3"/>
      <c r="S588" s="3"/>
      <c r="T588" s="2"/>
      <c r="U588" s="2"/>
      <c r="V588" s="2"/>
      <c r="W588" s="4"/>
      <c r="X588" s="4"/>
      <c r="Y588" s="4"/>
      <c r="Z588" s="5"/>
      <c r="AA588" s="5"/>
      <c r="AB588" s="5"/>
      <c r="AC588" s="5"/>
      <c r="AD588" s="5"/>
      <c r="AE588" s="5"/>
      <c r="AF588" s="5"/>
      <c r="AG588" s="2"/>
      <c r="AH588" s="2"/>
      <c r="AI588" s="2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spans="1:48" ht="14.25" customHeight="1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3"/>
      <c r="R589" s="3"/>
      <c r="S589" s="3"/>
      <c r="T589" s="2"/>
      <c r="U589" s="2"/>
      <c r="V589" s="2"/>
      <c r="W589" s="4"/>
      <c r="X589" s="4"/>
      <c r="Y589" s="4"/>
      <c r="Z589" s="5"/>
      <c r="AA589" s="5"/>
      <c r="AB589" s="5"/>
      <c r="AC589" s="5"/>
      <c r="AD589" s="5"/>
      <c r="AE589" s="5"/>
      <c r="AF589" s="5"/>
      <c r="AG589" s="2"/>
      <c r="AH589" s="2"/>
      <c r="AI589" s="2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spans="1:48" ht="14.25" customHeight="1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3"/>
      <c r="R590" s="3"/>
      <c r="S590" s="3"/>
      <c r="T590" s="2"/>
      <c r="U590" s="2"/>
      <c r="V590" s="2"/>
      <c r="W590" s="4"/>
      <c r="X590" s="4"/>
      <c r="Y590" s="4"/>
      <c r="Z590" s="5"/>
      <c r="AA590" s="5"/>
      <c r="AB590" s="5"/>
      <c r="AC590" s="5"/>
      <c r="AD590" s="5"/>
      <c r="AE590" s="5"/>
      <c r="AF590" s="5"/>
      <c r="AG590" s="2"/>
      <c r="AH590" s="2"/>
      <c r="AI590" s="2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spans="1:48" ht="14.25" customHeight="1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3"/>
      <c r="R591" s="3"/>
      <c r="S591" s="3"/>
      <c r="T591" s="2"/>
      <c r="U591" s="2"/>
      <c r="V591" s="2"/>
      <c r="W591" s="4"/>
      <c r="X591" s="4"/>
      <c r="Y591" s="4"/>
      <c r="Z591" s="5"/>
      <c r="AA591" s="5"/>
      <c r="AB591" s="5"/>
      <c r="AC591" s="5"/>
      <c r="AD591" s="5"/>
      <c r="AE591" s="5"/>
      <c r="AF591" s="5"/>
      <c r="AG591" s="2"/>
      <c r="AH591" s="2"/>
      <c r="AI591" s="2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spans="1:48" ht="14.25" customHeight="1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3"/>
      <c r="R592" s="3"/>
      <c r="S592" s="3"/>
      <c r="T592" s="2"/>
      <c r="U592" s="2"/>
      <c r="V592" s="2"/>
      <c r="W592" s="4"/>
      <c r="X592" s="4"/>
      <c r="Y592" s="4"/>
      <c r="Z592" s="5"/>
      <c r="AA592" s="5"/>
      <c r="AB592" s="5"/>
      <c r="AC592" s="5"/>
      <c r="AD592" s="5"/>
      <c r="AE592" s="5"/>
      <c r="AF592" s="5"/>
      <c r="AG592" s="2"/>
      <c r="AH592" s="2"/>
      <c r="AI592" s="2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spans="1:48" ht="14.25" customHeight="1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3"/>
      <c r="R593" s="3"/>
      <c r="S593" s="3"/>
      <c r="T593" s="2"/>
      <c r="U593" s="2"/>
      <c r="V593" s="2"/>
      <c r="W593" s="4"/>
      <c r="X593" s="4"/>
      <c r="Y593" s="4"/>
      <c r="Z593" s="5"/>
      <c r="AA593" s="5"/>
      <c r="AB593" s="5"/>
      <c r="AC593" s="5"/>
      <c r="AD593" s="5"/>
      <c r="AE593" s="5"/>
      <c r="AF593" s="5"/>
      <c r="AG593" s="2"/>
      <c r="AH593" s="2"/>
      <c r="AI593" s="2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spans="1:48" ht="14.25" customHeight="1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3"/>
      <c r="R594" s="3"/>
      <c r="S594" s="3"/>
      <c r="T594" s="2"/>
      <c r="U594" s="2"/>
      <c r="V594" s="2"/>
      <c r="W594" s="4"/>
      <c r="X594" s="4"/>
      <c r="Y594" s="4"/>
      <c r="Z594" s="5"/>
      <c r="AA594" s="5"/>
      <c r="AB594" s="5"/>
      <c r="AC594" s="5"/>
      <c r="AD594" s="5"/>
      <c r="AE594" s="5"/>
      <c r="AF594" s="5"/>
      <c r="AG594" s="2"/>
      <c r="AH594" s="2"/>
      <c r="AI594" s="2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spans="1:48" ht="14.25" customHeight="1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3"/>
      <c r="R595" s="3"/>
      <c r="S595" s="3"/>
      <c r="T595" s="2"/>
      <c r="U595" s="2"/>
      <c r="V595" s="2"/>
      <c r="W595" s="4"/>
      <c r="X595" s="4"/>
      <c r="Y595" s="4"/>
      <c r="Z595" s="5"/>
      <c r="AA595" s="5"/>
      <c r="AB595" s="5"/>
      <c r="AC595" s="5"/>
      <c r="AD595" s="5"/>
      <c r="AE595" s="5"/>
      <c r="AF595" s="5"/>
      <c r="AG595" s="2"/>
      <c r="AH595" s="2"/>
      <c r="AI595" s="2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spans="1:48" ht="14.25" customHeight="1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3"/>
      <c r="R596" s="3"/>
      <c r="S596" s="3"/>
      <c r="T596" s="2"/>
      <c r="U596" s="2"/>
      <c r="V596" s="2"/>
      <c r="W596" s="4"/>
      <c r="X596" s="4"/>
      <c r="Y596" s="4"/>
      <c r="Z596" s="5"/>
      <c r="AA596" s="5"/>
      <c r="AB596" s="5"/>
      <c r="AC596" s="5"/>
      <c r="AD596" s="5"/>
      <c r="AE596" s="5"/>
      <c r="AF596" s="5"/>
      <c r="AG596" s="2"/>
      <c r="AH596" s="2"/>
      <c r="AI596" s="2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spans="1:48" ht="14.25" customHeight="1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3"/>
      <c r="R597" s="3"/>
      <c r="S597" s="3"/>
      <c r="T597" s="2"/>
      <c r="U597" s="2"/>
      <c r="V597" s="2"/>
      <c r="W597" s="4"/>
      <c r="X597" s="4"/>
      <c r="Y597" s="4"/>
      <c r="Z597" s="5"/>
      <c r="AA597" s="5"/>
      <c r="AB597" s="5"/>
      <c r="AC597" s="5"/>
      <c r="AD597" s="5"/>
      <c r="AE597" s="5"/>
      <c r="AF597" s="5"/>
      <c r="AG597" s="2"/>
      <c r="AH597" s="2"/>
      <c r="AI597" s="2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spans="1:48" ht="14.25" customHeight="1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3"/>
      <c r="R598" s="3"/>
      <c r="S598" s="3"/>
      <c r="T598" s="2"/>
      <c r="U598" s="2"/>
      <c r="V598" s="2"/>
      <c r="W598" s="4"/>
      <c r="X598" s="4"/>
      <c r="Y598" s="4"/>
      <c r="Z598" s="5"/>
      <c r="AA598" s="5"/>
      <c r="AB598" s="5"/>
      <c r="AC598" s="5"/>
      <c r="AD598" s="5"/>
      <c r="AE598" s="5"/>
      <c r="AF598" s="5"/>
      <c r="AG598" s="2"/>
      <c r="AH598" s="2"/>
      <c r="AI598" s="2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spans="1:48" ht="14.25" customHeight="1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3"/>
      <c r="R599" s="3"/>
      <c r="S599" s="3"/>
      <c r="T599" s="2"/>
      <c r="U599" s="2"/>
      <c r="V599" s="2"/>
      <c r="W599" s="4"/>
      <c r="X599" s="4"/>
      <c r="Y599" s="4"/>
      <c r="Z599" s="5"/>
      <c r="AA599" s="5"/>
      <c r="AB599" s="5"/>
      <c r="AC599" s="5"/>
      <c r="AD599" s="5"/>
      <c r="AE599" s="5"/>
      <c r="AF599" s="5"/>
      <c r="AG599" s="2"/>
      <c r="AH599" s="2"/>
      <c r="AI599" s="2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spans="1:48" ht="14.25" customHeight="1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3"/>
      <c r="R600" s="3"/>
      <c r="S600" s="3"/>
      <c r="T600" s="2"/>
      <c r="U600" s="2"/>
      <c r="V600" s="2"/>
      <c r="W600" s="4"/>
      <c r="X600" s="4"/>
      <c r="Y600" s="4"/>
      <c r="Z600" s="5"/>
      <c r="AA600" s="5"/>
      <c r="AB600" s="5"/>
      <c r="AC600" s="5"/>
      <c r="AD600" s="5"/>
      <c r="AE600" s="5"/>
      <c r="AF600" s="5"/>
      <c r="AG600" s="2"/>
      <c r="AH600" s="2"/>
      <c r="AI600" s="2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spans="1:48" ht="14.25" customHeight="1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3"/>
      <c r="R601" s="3"/>
      <c r="S601" s="3"/>
      <c r="T601" s="2"/>
      <c r="U601" s="2"/>
      <c r="V601" s="2"/>
      <c r="W601" s="4"/>
      <c r="X601" s="4"/>
      <c r="Y601" s="4"/>
      <c r="Z601" s="5"/>
      <c r="AA601" s="5"/>
      <c r="AB601" s="5"/>
      <c r="AC601" s="5"/>
      <c r="AD601" s="5"/>
      <c r="AE601" s="5"/>
      <c r="AF601" s="5"/>
      <c r="AG601" s="2"/>
      <c r="AH601" s="2"/>
      <c r="AI601" s="2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spans="1:48" ht="14.25" customHeight="1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3"/>
      <c r="R602" s="3"/>
      <c r="S602" s="3"/>
      <c r="T602" s="2"/>
      <c r="U602" s="2"/>
      <c r="V602" s="2"/>
      <c r="W602" s="4"/>
      <c r="X602" s="4"/>
      <c r="Y602" s="4"/>
      <c r="Z602" s="5"/>
      <c r="AA602" s="5"/>
      <c r="AB602" s="5"/>
      <c r="AC602" s="5"/>
      <c r="AD602" s="5"/>
      <c r="AE602" s="5"/>
      <c r="AF602" s="5"/>
      <c r="AG602" s="2"/>
      <c r="AH602" s="2"/>
      <c r="AI602" s="2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spans="1:48" ht="14.25" customHeight="1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3"/>
      <c r="R603" s="3"/>
      <c r="S603" s="3"/>
      <c r="T603" s="2"/>
      <c r="U603" s="2"/>
      <c r="V603" s="2"/>
      <c r="W603" s="4"/>
      <c r="X603" s="4"/>
      <c r="Y603" s="4"/>
      <c r="Z603" s="5"/>
      <c r="AA603" s="5"/>
      <c r="AB603" s="5"/>
      <c r="AC603" s="5"/>
      <c r="AD603" s="5"/>
      <c r="AE603" s="5"/>
      <c r="AF603" s="5"/>
      <c r="AG603" s="2"/>
      <c r="AH603" s="2"/>
      <c r="AI603" s="2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spans="1:48" ht="14.25" customHeight="1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3"/>
      <c r="R604" s="3"/>
      <c r="S604" s="3"/>
      <c r="T604" s="2"/>
      <c r="U604" s="2"/>
      <c r="V604" s="2"/>
      <c r="W604" s="4"/>
      <c r="X604" s="4"/>
      <c r="Y604" s="4"/>
      <c r="Z604" s="5"/>
      <c r="AA604" s="5"/>
      <c r="AB604" s="5"/>
      <c r="AC604" s="5"/>
      <c r="AD604" s="5"/>
      <c r="AE604" s="5"/>
      <c r="AF604" s="5"/>
      <c r="AG604" s="2"/>
      <c r="AH604" s="2"/>
      <c r="AI604" s="2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spans="1:48" ht="14.25" customHeight="1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3"/>
      <c r="R605" s="3"/>
      <c r="S605" s="3"/>
      <c r="T605" s="2"/>
      <c r="U605" s="2"/>
      <c r="V605" s="2"/>
      <c r="W605" s="4"/>
      <c r="X605" s="4"/>
      <c r="Y605" s="4"/>
      <c r="Z605" s="5"/>
      <c r="AA605" s="5"/>
      <c r="AB605" s="5"/>
      <c r="AC605" s="5"/>
      <c r="AD605" s="5"/>
      <c r="AE605" s="5"/>
      <c r="AF605" s="5"/>
      <c r="AG605" s="2"/>
      <c r="AH605" s="2"/>
      <c r="AI605" s="2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spans="1:48" ht="14.25" customHeight="1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3"/>
      <c r="R606" s="3"/>
      <c r="S606" s="3"/>
      <c r="T606" s="2"/>
      <c r="U606" s="2"/>
      <c r="V606" s="2"/>
      <c r="W606" s="4"/>
      <c r="X606" s="4"/>
      <c r="Y606" s="4"/>
      <c r="Z606" s="5"/>
      <c r="AA606" s="5"/>
      <c r="AB606" s="5"/>
      <c r="AC606" s="5"/>
      <c r="AD606" s="5"/>
      <c r="AE606" s="5"/>
      <c r="AF606" s="5"/>
      <c r="AG606" s="2"/>
      <c r="AH606" s="2"/>
      <c r="AI606" s="2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spans="1:48" ht="14.25" customHeight="1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3"/>
      <c r="R607" s="3"/>
      <c r="S607" s="3"/>
      <c r="T607" s="2"/>
      <c r="U607" s="2"/>
      <c r="V607" s="2"/>
      <c r="W607" s="4"/>
      <c r="X607" s="4"/>
      <c r="Y607" s="4"/>
      <c r="Z607" s="5"/>
      <c r="AA607" s="5"/>
      <c r="AB607" s="5"/>
      <c r="AC607" s="5"/>
      <c r="AD607" s="5"/>
      <c r="AE607" s="5"/>
      <c r="AF607" s="5"/>
      <c r="AG607" s="2"/>
      <c r="AH607" s="2"/>
      <c r="AI607" s="2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spans="1:48" ht="14.25" customHeight="1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3"/>
      <c r="R608" s="3"/>
      <c r="S608" s="3"/>
      <c r="T608" s="2"/>
      <c r="U608" s="2"/>
      <c r="V608" s="2"/>
      <c r="W608" s="4"/>
      <c r="X608" s="4"/>
      <c r="Y608" s="4"/>
      <c r="Z608" s="5"/>
      <c r="AA608" s="5"/>
      <c r="AB608" s="5"/>
      <c r="AC608" s="5"/>
      <c r="AD608" s="5"/>
      <c r="AE608" s="5"/>
      <c r="AF608" s="5"/>
      <c r="AG608" s="2"/>
      <c r="AH608" s="2"/>
      <c r="AI608" s="2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spans="1:48" ht="14.25" customHeight="1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3"/>
      <c r="R609" s="3"/>
      <c r="S609" s="3"/>
      <c r="T609" s="2"/>
      <c r="U609" s="2"/>
      <c r="V609" s="2"/>
      <c r="W609" s="4"/>
      <c r="X609" s="4"/>
      <c r="Y609" s="4"/>
      <c r="Z609" s="5"/>
      <c r="AA609" s="5"/>
      <c r="AB609" s="5"/>
      <c r="AC609" s="5"/>
      <c r="AD609" s="5"/>
      <c r="AE609" s="5"/>
      <c r="AF609" s="5"/>
      <c r="AG609" s="2"/>
      <c r="AH609" s="2"/>
      <c r="AI609" s="2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spans="1:48" ht="14.25" customHeight="1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3"/>
      <c r="R610" s="3"/>
      <c r="S610" s="3"/>
      <c r="T610" s="2"/>
      <c r="U610" s="2"/>
      <c r="V610" s="2"/>
      <c r="W610" s="4"/>
      <c r="X610" s="4"/>
      <c r="Y610" s="4"/>
      <c r="Z610" s="5"/>
      <c r="AA610" s="5"/>
      <c r="AB610" s="5"/>
      <c r="AC610" s="5"/>
      <c r="AD610" s="5"/>
      <c r="AE610" s="5"/>
      <c r="AF610" s="5"/>
      <c r="AG610" s="2"/>
      <c r="AH610" s="2"/>
      <c r="AI610" s="2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spans="1:48" ht="14.25" customHeight="1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3"/>
      <c r="R611" s="3"/>
      <c r="S611" s="3"/>
      <c r="T611" s="2"/>
      <c r="U611" s="2"/>
      <c r="V611" s="2"/>
      <c r="W611" s="4"/>
      <c r="X611" s="4"/>
      <c r="Y611" s="4"/>
      <c r="Z611" s="5"/>
      <c r="AA611" s="5"/>
      <c r="AB611" s="5"/>
      <c r="AC611" s="5"/>
      <c r="AD611" s="5"/>
      <c r="AE611" s="5"/>
      <c r="AF611" s="5"/>
      <c r="AG611" s="2"/>
      <c r="AH611" s="2"/>
      <c r="AI611" s="2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spans="1:48" ht="14.25" customHeight="1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3"/>
      <c r="R612" s="3"/>
      <c r="S612" s="3"/>
      <c r="T612" s="2"/>
      <c r="U612" s="2"/>
      <c r="V612" s="2"/>
      <c r="W612" s="4"/>
      <c r="X612" s="4"/>
      <c r="Y612" s="4"/>
      <c r="Z612" s="5"/>
      <c r="AA612" s="5"/>
      <c r="AB612" s="5"/>
      <c r="AC612" s="5"/>
      <c r="AD612" s="5"/>
      <c r="AE612" s="5"/>
      <c r="AF612" s="5"/>
      <c r="AG612" s="2"/>
      <c r="AH612" s="2"/>
      <c r="AI612" s="2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spans="1:48" ht="14.25" customHeight="1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3"/>
      <c r="R613" s="3"/>
      <c r="S613" s="3"/>
      <c r="T613" s="2"/>
      <c r="U613" s="2"/>
      <c r="V613" s="2"/>
      <c r="W613" s="4"/>
      <c r="X613" s="4"/>
      <c r="Y613" s="4"/>
      <c r="Z613" s="5"/>
      <c r="AA613" s="5"/>
      <c r="AB613" s="5"/>
      <c r="AC613" s="5"/>
      <c r="AD613" s="5"/>
      <c r="AE613" s="5"/>
      <c r="AF613" s="5"/>
      <c r="AG613" s="2"/>
      <c r="AH613" s="2"/>
      <c r="AI613" s="2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spans="1:48" ht="14.25" customHeight="1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3"/>
      <c r="R614" s="3"/>
      <c r="S614" s="3"/>
      <c r="T614" s="2"/>
      <c r="U614" s="2"/>
      <c r="V614" s="2"/>
      <c r="W614" s="4"/>
      <c r="X614" s="4"/>
      <c r="Y614" s="4"/>
      <c r="Z614" s="5"/>
      <c r="AA614" s="5"/>
      <c r="AB614" s="5"/>
      <c r="AC614" s="5"/>
      <c r="AD614" s="5"/>
      <c r="AE614" s="5"/>
      <c r="AF614" s="5"/>
      <c r="AG614" s="2"/>
      <c r="AH614" s="2"/>
      <c r="AI614" s="2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spans="1:48" ht="14.25" customHeight="1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3"/>
      <c r="R615" s="3"/>
      <c r="S615" s="3"/>
      <c r="T615" s="2"/>
      <c r="U615" s="2"/>
      <c r="V615" s="2"/>
      <c r="W615" s="4"/>
      <c r="X615" s="4"/>
      <c r="Y615" s="4"/>
      <c r="Z615" s="5"/>
      <c r="AA615" s="5"/>
      <c r="AB615" s="5"/>
      <c r="AC615" s="5"/>
      <c r="AD615" s="5"/>
      <c r="AE615" s="5"/>
      <c r="AF615" s="5"/>
      <c r="AG615" s="2"/>
      <c r="AH615" s="2"/>
      <c r="AI615" s="2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spans="1:48" ht="14.25" customHeight="1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3"/>
      <c r="R616" s="3"/>
      <c r="S616" s="3"/>
      <c r="T616" s="2"/>
      <c r="U616" s="2"/>
      <c r="V616" s="2"/>
      <c r="W616" s="4"/>
      <c r="X616" s="4"/>
      <c r="Y616" s="4"/>
      <c r="Z616" s="5"/>
      <c r="AA616" s="5"/>
      <c r="AB616" s="5"/>
      <c r="AC616" s="5"/>
      <c r="AD616" s="5"/>
      <c r="AE616" s="5"/>
      <c r="AF616" s="5"/>
      <c r="AG616" s="2"/>
      <c r="AH616" s="2"/>
      <c r="AI616" s="2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spans="1:48" ht="14.25" customHeight="1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3"/>
      <c r="R617" s="3"/>
      <c r="S617" s="3"/>
      <c r="T617" s="2"/>
      <c r="U617" s="2"/>
      <c r="V617" s="2"/>
      <c r="W617" s="4"/>
      <c r="X617" s="4"/>
      <c r="Y617" s="4"/>
      <c r="Z617" s="5"/>
      <c r="AA617" s="5"/>
      <c r="AB617" s="5"/>
      <c r="AC617" s="5"/>
      <c r="AD617" s="5"/>
      <c r="AE617" s="5"/>
      <c r="AF617" s="5"/>
      <c r="AG617" s="2"/>
      <c r="AH617" s="2"/>
      <c r="AI617" s="2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spans="1:48" ht="14.25" customHeight="1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3"/>
      <c r="R618" s="3"/>
      <c r="S618" s="3"/>
      <c r="T618" s="2"/>
      <c r="U618" s="2"/>
      <c r="V618" s="2"/>
      <c r="W618" s="4"/>
      <c r="X618" s="4"/>
      <c r="Y618" s="4"/>
      <c r="Z618" s="5"/>
      <c r="AA618" s="5"/>
      <c r="AB618" s="5"/>
      <c r="AC618" s="5"/>
      <c r="AD618" s="5"/>
      <c r="AE618" s="5"/>
      <c r="AF618" s="5"/>
      <c r="AG618" s="2"/>
      <c r="AH618" s="2"/>
      <c r="AI618" s="2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spans="1:48" ht="14.25" customHeight="1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3"/>
      <c r="R619" s="3"/>
      <c r="S619" s="3"/>
      <c r="T619" s="2"/>
      <c r="U619" s="2"/>
      <c r="V619" s="2"/>
      <c r="W619" s="4"/>
      <c r="X619" s="4"/>
      <c r="Y619" s="4"/>
      <c r="Z619" s="5"/>
      <c r="AA619" s="5"/>
      <c r="AB619" s="5"/>
      <c r="AC619" s="5"/>
      <c r="AD619" s="5"/>
      <c r="AE619" s="5"/>
      <c r="AF619" s="5"/>
      <c r="AG619" s="2"/>
      <c r="AH619" s="2"/>
      <c r="AI619" s="2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spans="1:48" ht="14.25" customHeight="1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3"/>
      <c r="R620" s="3"/>
      <c r="S620" s="3"/>
      <c r="T620" s="2"/>
      <c r="U620" s="2"/>
      <c r="V620" s="2"/>
      <c r="W620" s="4"/>
      <c r="X620" s="4"/>
      <c r="Y620" s="4"/>
      <c r="Z620" s="5"/>
      <c r="AA620" s="5"/>
      <c r="AB620" s="5"/>
      <c r="AC620" s="5"/>
      <c r="AD620" s="5"/>
      <c r="AE620" s="5"/>
      <c r="AF620" s="5"/>
      <c r="AG620" s="2"/>
      <c r="AH620" s="2"/>
      <c r="AI620" s="2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spans="1:48" ht="14.25" customHeight="1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3"/>
      <c r="R621" s="3"/>
      <c r="S621" s="3"/>
      <c r="T621" s="2"/>
      <c r="U621" s="2"/>
      <c r="V621" s="2"/>
      <c r="W621" s="4"/>
      <c r="X621" s="4"/>
      <c r="Y621" s="4"/>
      <c r="Z621" s="5"/>
      <c r="AA621" s="5"/>
      <c r="AB621" s="5"/>
      <c r="AC621" s="5"/>
      <c r="AD621" s="5"/>
      <c r="AE621" s="5"/>
      <c r="AF621" s="5"/>
      <c r="AG621" s="2"/>
      <c r="AH621" s="2"/>
      <c r="AI621" s="2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spans="1:48" ht="14.25" customHeight="1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3"/>
      <c r="R622" s="3"/>
      <c r="S622" s="3"/>
      <c r="T622" s="2"/>
      <c r="U622" s="2"/>
      <c r="V622" s="2"/>
      <c r="W622" s="4"/>
      <c r="X622" s="4"/>
      <c r="Y622" s="4"/>
      <c r="Z622" s="5"/>
      <c r="AA622" s="5"/>
      <c r="AB622" s="5"/>
      <c r="AC622" s="5"/>
      <c r="AD622" s="5"/>
      <c r="AE622" s="5"/>
      <c r="AF622" s="5"/>
      <c r="AG622" s="2"/>
      <c r="AH622" s="2"/>
      <c r="AI622" s="2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spans="1:48" ht="14.25" customHeight="1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3"/>
      <c r="R623" s="3"/>
      <c r="S623" s="3"/>
      <c r="T623" s="2"/>
      <c r="U623" s="2"/>
      <c r="V623" s="2"/>
      <c r="W623" s="4"/>
      <c r="X623" s="4"/>
      <c r="Y623" s="4"/>
      <c r="Z623" s="5"/>
      <c r="AA623" s="5"/>
      <c r="AB623" s="5"/>
      <c r="AC623" s="5"/>
      <c r="AD623" s="5"/>
      <c r="AE623" s="5"/>
      <c r="AF623" s="5"/>
      <c r="AG623" s="2"/>
      <c r="AH623" s="2"/>
      <c r="AI623" s="2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spans="1:48" ht="14.25" customHeight="1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3"/>
      <c r="R624" s="3"/>
      <c r="S624" s="3"/>
      <c r="T624" s="2"/>
      <c r="U624" s="2"/>
      <c r="V624" s="2"/>
      <c r="W624" s="4"/>
      <c r="X624" s="4"/>
      <c r="Y624" s="4"/>
      <c r="Z624" s="5"/>
      <c r="AA624" s="5"/>
      <c r="AB624" s="5"/>
      <c r="AC624" s="5"/>
      <c r="AD624" s="5"/>
      <c r="AE624" s="5"/>
      <c r="AF624" s="5"/>
      <c r="AG624" s="2"/>
      <c r="AH624" s="2"/>
      <c r="AI624" s="2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spans="1:48" ht="14.25" customHeight="1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3"/>
      <c r="R625" s="3"/>
      <c r="S625" s="3"/>
      <c r="T625" s="2"/>
      <c r="U625" s="2"/>
      <c r="V625" s="2"/>
      <c r="W625" s="4"/>
      <c r="X625" s="4"/>
      <c r="Y625" s="4"/>
      <c r="Z625" s="5"/>
      <c r="AA625" s="5"/>
      <c r="AB625" s="5"/>
      <c r="AC625" s="5"/>
      <c r="AD625" s="5"/>
      <c r="AE625" s="5"/>
      <c r="AF625" s="5"/>
      <c r="AG625" s="2"/>
      <c r="AH625" s="2"/>
      <c r="AI625" s="2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spans="1:48" ht="14.25" customHeight="1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3"/>
      <c r="R626" s="3"/>
      <c r="S626" s="3"/>
      <c r="T626" s="2"/>
      <c r="U626" s="2"/>
      <c r="V626" s="2"/>
      <c r="W626" s="4"/>
      <c r="X626" s="4"/>
      <c r="Y626" s="4"/>
      <c r="Z626" s="5"/>
      <c r="AA626" s="5"/>
      <c r="AB626" s="5"/>
      <c r="AC626" s="5"/>
      <c r="AD626" s="5"/>
      <c r="AE626" s="5"/>
      <c r="AF626" s="5"/>
      <c r="AG626" s="2"/>
      <c r="AH626" s="2"/>
      <c r="AI626" s="2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spans="1:48" ht="14.25" customHeight="1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3"/>
      <c r="R627" s="3"/>
      <c r="S627" s="3"/>
      <c r="T627" s="2"/>
      <c r="U627" s="2"/>
      <c r="V627" s="2"/>
      <c r="W627" s="4"/>
      <c r="X627" s="4"/>
      <c r="Y627" s="4"/>
      <c r="Z627" s="5"/>
      <c r="AA627" s="5"/>
      <c r="AB627" s="5"/>
      <c r="AC627" s="5"/>
      <c r="AD627" s="5"/>
      <c r="AE627" s="5"/>
      <c r="AF627" s="5"/>
      <c r="AG627" s="2"/>
      <c r="AH627" s="2"/>
      <c r="AI627" s="2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spans="1:48" ht="14.25" customHeight="1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3"/>
      <c r="R628" s="3"/>
      <c r="S628" s="3"/>
      <c r="T628" s="2"/>
      <c r="U628" s="2"/>
      <c r="V628" s="2"/>
      <c r="W628" s="4"/>
      <c r="X628" s="4"/>
      <c r="Y628" s="4"/>
      <c r="Z628" s="5"/>
      <c r="AA628" s="5"/>
      <c r="AB628" s="5"/>
      <c r="AC628" s="5"/>
      <c r="AD628" s="5"/>
      <c r="AE628" s="5"/>
      <c r="AF628" s="5"/>
      <c r="AG628" s="2"/>
      <c r="AH628" s="2"/>
      <c r="AI628" s="2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spans="1:48" ht="14.25" customHeight="1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3"/>
      <c r="R629" s="3"/>
      <c r="S629" s="3"/>
      <c r="T629" s="2"/>
      <c r="U629" s="2"/>
      <c r="V629" s="2"/>
      <c r="W629" s="4"/>
      <c r="X629" s="4"/>
      <c r="Y629" s="4"/>
      <c r="Z629" s="5"/>
      <c r="AA629" s="5"/>
      <c r="AB629" s="5"/>
      <c r="AC629" s="5"/>
      <c r="AD629" s="5"/>
      <c r="AE629" s="5"/>
      <c r="AF629" s="5"/>
      <c r="AG629" s="2"/>
      <c r="AH629" s="2"/>
      <c r="AI629" s="2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spans="1:48" ht="14.25" customHeight="1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3"/>
      <c r="R630" s="3"/>
      <c r="S630" s="3"/>
      <c r="T630" s="2"/>
      <c r="U630" s="2"/>
      <c r="V630" s="2"/>
      <c r="W630" s="4"/>
      <c r="X630" s="4"/>
      <c r="Y630" s="4"/>
      <c r="Z630" s="5"/>
      <c r="AA630" s="5"/>
      <c r="AB630" s="5"/>
      <c r="AC630" s="5"/>
      <c r="AD630" s="5"/>
      <c r="AE630" s="5"/>
      <c r="AF630" s="5"/>
      <c r="AG630" s="2"/>
      <c r="AH630" s="2"/>
      <c r="AI630" s="2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spans="1:48" ht="14.25" customHeight="1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3"/>
      <c r="R631" s="3"/>
      <c r="S631" s="3"/>
      <c r="T631" s="2"/>
      <c r="U631" s="2"/>
      <c r="V631" s="2"/>
      <c r="W631" s="4"/>
      <c r="X631" s="4"/>
      <c r="Y631" s="4"/>
      <c r="Z631" s="5"/>
      <c r="AA631" s="5"/>
      <c r="AB631" s="5"/>
      <c r="AC631" s="5"/>
      <c r="AD631" s="5"/>
      <c r="AE631" s="5"/>
      <c r="AF631" s="5"/>
      <c r="AG631" s="2"/>
      <c r="AH631" s="2"/>
      <c r="AI631" s="2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spans="1:48" ht="14.25" customHeight="1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3"/>
      <c r="R632" s="3"/>
      <c r="S632" s="3"/>
      <c r="T632" s="2"/>
      <c r="U632" s="2"/>
      <c r="V632" s="2"/>
      <c r="W632" s="4"/>
      <c r="X632" s="4"/>
      <c r="Y632" s="4"/>
      <c r="Z632" s="5"/>
      <c r="AA632" s="5"/>
      <c r="AB632" s="5"/>
      <c r="AC632" s="5"/>
      <c r="AD632" s="5"/>
      <c r="AE632" s="5"/>
      <c r="AF632" s="5"/>
      <c r="AG632" s="2"/>
      <c r="AH632" s="2"/>
      <c r="AI632" s="2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spans="1:48" ht="14.25" customHeight="1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3"/>
      <c r="R633" s="3"/>
      <c r="S633" s="3"/>
      <c r="T633" s="2"/>
      <c r="U633" s="2"/>
      <c r="V633" s="2"/>
      <c r="W633" s="4"/>
      <c r="X633" s="4"/>
      <c r="Y633" s="4"/>
      <c r="Z633" s="5"/>
      <c r="AA633" s="5"/>
      <c r="AB633" s="5"/>
      <c r="AC633" s="5"/>
      <c r="AD633" s="5"/>
      <c r="AE633" s="5"/>
      <c r="AF633" s="5"/>
      <c r="AG633" s="2"/>
      <c r="AH633" s="2"/>
      <c r="AI633" s="2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spans="1:48" ht="14.25" customHeight="1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3"/>
      <c r="R634" s="3"/>
      <c r="S634" s="3"/>
      <c r="T634" s="2"/>
      <c r="U634" s="2"/>
      <c r="V634" s="2"/>
      <c r="W634" s="4"/>
      <c r="X634" s="4"/>
      <c r="Y634" s="4"/>
      <c r="Z634" s="5"/>
      <c r="AA634" s="5"/>
      <c r="AB634" s="5"/>
      <c r="AC634" s="5"/>
      <c r="AD634" s="5"/>
      <c r="AE634" s="5"/>
      <c r="AF634" s="5"/>
      <c r="AG634" s="2"/>
      <c r="AH634" s="2"/>
      <c r="AI634" s="2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spans="1:48" ht="14.25" customHeight="1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3"/>
      <c r="R635" s="3"/>
      <c r="S635" s="3"/>
      <c r="T635" s="2"/>
      <c r="U635" s="2"/>
      <c r="V635" s="2"/>
      <c r="W635" s="4"/>
      <c r="X635" s="4"/>
      <c r="Y635" s="4"/>
      <c r="Z635" s="5"/>
      <c r="AA635" s="5"/>
      <c r="AB635" s="5"/>
      <c r="AC635" s="5"/>
      <c r="AD635" s="5"/>
      <c r="AE635" s="5"/>
      <c r="AF635" s="5"/>
      <c r="AG635" s="2"/>
      <c r="AH635" s="2"/>
      <c r="AI635" s="2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spans="1:48" ht="14.25" customHeight="1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3"/>
      <c r="R636" s="3"/>
      <c r="S636" s="3"/>
      <c r="T636" s="2"/>
      <c r="U636" s="2"/>
      <c r="V636" s="2"/>
      <c r="W636" s="4"/>
      <c r="X636" s="4"/>
      <c r="Y636" s="4"/>
      <c r="Z636" s="5"/>
      <c r="AA636" s="5"/>
      <c r="AB636" s="5"/>
      <c r="AC636" s="5"/>
      <c r="AD636" s="5"/>
      <c r="AE636" s="5"/>
      <c r="AF636" s="5"/>
      <c r="AG636" s="2"/>
      <c r="AH636" s="2"/>
      <c r="AI636" s="2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spans="1:48" ht="14.25" customHeight="1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3"/>
      <c r="R637" s="3"/>
      <c r="S637" s="3"/>
      <c r="T637" s="2"/>
      <c r="U637" s="2"/>
      <c r="V637" s="2"/>
      <c r="W637" s="4"/>
      <c r="X637" s="4"/>
      <c r="Y637" s="4"/>
      <c r="Z637" s="5"/>
      <c r="AA637" s="5"/>
      <c r="AB637" s="5"/>
      <c r="AC637" s="5"/>
      <c r="AD637" s="5"/>
      <c r="AE637" s="5"/>
      <c r="AF637" s="5"/>
      <c r="AG637" s="2"/>
      <c r="AH637" s="2"/>
      <c r="AI637" s="2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spans="1:48" ht="14.25" customHeight="1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3"/>
      <c r="R638" s="3"/>
      <c r="S638" s="3"/>
      <c r="T638" s="2"/>
      <c r="U638" s="2"/>
      <c r="V638" s="2"/>
      <c r="W638" s="4"/>
      <c r="X638" s="4"/>
      <c r="Y638" s="4"/>
      <c r="Z638" s="5"/>
      <c r="AA638" s="5"/>
      <c r="AB638" s="5"/>
      <c r="AC638" s="5"/>
      <c r="AD638" s="5"/>
      <c r="AE638" s="5"/>
      <c r="AF638" s="5"/>
      <c r="AG638" s="2"/>
      <c r="AH638" s="2"/>
      <c r="AI638" s="2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spans="1:48" ht="14.25" customHeight="1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3"/>
      <c r="R639" s="3"/>
      <c r="S639" s="3"/>
      <c r="T639" s="2"/>
      <c r="U639" s="2"/>
      <c r="V639" s="2"/>
      <c r="W639" s="4"/>
      <c r="X639" s="4"/>
      <c r="Y639" s="4"/>
      <c r="Z639" s="5"/>
      <c r="AA639" s="5"/>
      <c r="AB639" s="5"/>
      <c r="AC639" s="5"/>
      <c r="AD639" s="5"/>
      <c r="AE639" s="5"/>
      <c r="AF639" s="5"/>
      <c r="AG639" s="2"/>
      <c r="AH639" s="2"/>
      <c r="AI639" s="2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spans="1:48" ht="14.25" customHeight="1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3"/>
      <c r="R640" s="3"/>
      <c r="S640" s="3"/>
      <c r="T640" s="2"/>
      <c r="U640" s="2"/>
      <c r="V640" s="2"/>
      <c r="W640" s="4"/>
      <c r="X640" s="4"/>
      <c r="Y640" s="4"/>
      <c r="Z640" s="5"/>
      <c r="AA640" s="5"/>
      <c r="AB640" s="5"/>
      <c r="AC640" s="5"/>
      <c r="AD640" s="5"/>
      <c r="AE640" s="5"/>
      <c r="AF640" s="5"/>
      <c r="AG640" s="2"/>
      <c r="AH640" s="2"/>
      <c r="AI640" s="2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spans="1:48" ht="14.25" customHeight="1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3"/>
      <c r="R641" s="3"/>
      <c r="S641" s="3"/>
      <c r="T641" s="2"/>
      <c r="U641" s="2"/>
      <c r="V641" s="2"/>
      <c r="W641" s="4"/>
      <c r="X641" s="4"/>
      <c r="Y641" s="4"/>
      <c r="Z641" s="5"/>
      <c r="AA641" s="5"/>
      <c r="AB641" s="5"/>
      <c r="AC641" s="5"/>
      <c r="AD641" s="5"/>
      <c r="AE641" s="5"/>
      <c r="AF641" s="5"/>
      <c r="AG641" s="2"/>
      <c r="AH641" s="2"/>
      <c r="AI641" s="2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spans="1:48" ht="14.25" customHeight="1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3"/>
      <c r="R642" s="3"/>
      <c r="S642" s="3"/>
      <c r="T642" s="2"/>
      <c r="U642" s="2"/>
      <c r="V642" s="2"/>
      <c r="W642" s="4"/>
      <c r="X642" s="4"/>
      <c r="Y642" s="4"/>
      <c r="Z642" s="5"/>
      <c r="AA642" s="5"/>
      <c r="AB642" s="5"/>
      <c r="AC642" s="5"/>
      <c r="AD642" s="5"/>
      <c r="AE642" s="5"/>
      <c r="AF642" s="5"/>
      <c r="AG642" s="2"/>
      <c r="AH642" s="2"/>
      <c r="AI642" s="2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spans="1:48" ht="14.25" customHeight="1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3"/>
      <c r="R643" s="3"/>
      <c r="S643" s="3"/>
      <c r="T643" s="2"/>
      <c r="U643" s="2"/>
      <c r="V643" s="2"/>
      <c r="W643" s="4"/>
      <c r="X643" s="4"/>
      <c r="Y643" s="4"/>
      <c r="Z643" s="5"/>
      <c r="AA643" s="5"/>
      <c r="AB643" s="5"/>
      <c r="AC643" s="5"/>
      <c r="AD643" s="5"/>
      <c r="AE643" s="5"/>
      <c r="AF643" s="5"/>
      <c r="AG643" s="2"/>
      <c r="AH643" s="2"/>
      <c r="AI643" s="2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spans="1:48" ht="14.25" customHeight="1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3"/>
      <c r="R644" s="3"/>
      <c r="S644" s="3"/>
      <c r="T644" s="2"/>
      <c r="U644" s="2"/>
      <c r="V644" s="2"/>
      <c r="W644" s="4"/>
      <c r="X644" s="4"/>
      <c r="Y644" s="4"/>
      <c r="Z644" s="5"/>
      <c r="AA644" s="5"/>
      <c r="AB644" s="5"/>
      <c r="AC644" s="5"/>
      <c r="AD644" s="5"/>
      <c r="AE644" s="5"/>
      <c r="AF644" s="5"/>
      <c r="AG644" s="2"/>
      <c r="AH644" s="2"/>
      <c r="AI644" s="2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spans="1:48" ht="14.25" customHeight="1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3"/>
      <c r="R645" s="3"/>
      <c r="S645" s="3"/>
      <c r="T645" s="2"/>
      <c r="U645" s="2"/>
      <c r="V645" s="2"/>
      <c r="W645" s="4"/>
      <c r="X645" s="4"/>
      <c r="Y645" s="4"/>
      <c r="Z645" s="5"/>
      <c r="AA645" s="5"/>
      <c r="AB645" s="5"/>
      <c r="AC645" s="5"/>
      <c r="AD645" s="5"/>
      <c r="AE645" s="5"/>
      <c r="AF645" s="5"/>
      <c r="AG645" s="2"/>
      <c r="AH645" s="2"/>
      <c r="AI645" s="2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spans="1:48" ht="14.25" customHeight="1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3"/>
      <c r="R646" s="3"/>
      <c r="S646" s="3"/>
      <c r="T646" s="2"/>
      <c r="U646" s="2"/>
      <c r="V646" s="2"/>
      <c r="W646" s="4"/>
      <c r="X646" s="4"/>
      <c r="Y646" s="4"/>
      <c r="Z646" s="5"/>
      <c r="AA646" s="5"/>
      <c r="AB646" s="5"/>
      <c r="AC646" s="5"/>
      <c r="AD646" s="5"/>
      <c r="AE646" s="5"/>
      <c r="AF646" s="5"/>
      <c r="AG646" s="2"/>
      <c r="AH646" s="2"/>
      <c r="AI646" s="2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spans="1:48" ht="14.25" customHeight="1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3"/>
      <c r="R647" s="3"/>
      <c r="S647" s="3"/>
      <c r="T647" s="2"/>
      <c r="U647" s="2"/>
      <c r="V647" s="2"/>
      <c r="W647" s="4"/>
      <c r="X647" s="4"/>
      <c r="Y647" s="4"/>
      <c r="Z647" s="5"/>
      <c r="AA647" s="5"/>
      <c r="AB647" s="5"/>
      <c r="AC647" s="5"/>
      <c r="AD647" s="5"/>
      <c r="AE647" s="5"/>
      <c r="AF647" s="5"/>
      <c r="AG647" s="2"/>
      <c r="AH647" s="2"/>
      <c r="AI647" s="2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spans="1:48" ht="14.25" customHeight="1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3"/>
      <c r="R648" s="3"/>
      <c r="S648" s="3"/>
      <c r="T648" s="2"/>
      <c r="U648" s="2"/>
      <c r="V648" s="2"/>
      <c r="W648" s="4"/>
      <c r="X648" s="4"/>
      <c r="Y648" s="4"/>
      <c r="Z648" s="5"/>
      <c r="AA648" s="5"/>
      <c r="AB648" s="5"/>
      <c r="AC648" s="5"/>
      <c r="AD648" s="5"/>
      <c r="AE648" s="5"/>
      <c r="AF648" s="5"/>
      <c r="AG648" s="2"/>
      <c r="AH648" s="2"/>
      <c r="AI648" s="2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spans="1:48" ht="14.25" customHeight="1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3"/>
      <c r="R649" s="3"/>
      <c r="S649" s="3"/>
      <c r="T649" s="2"/>
      <c r="U649" s="2"/>
      <c r="V649" s="2"/>
      <c r="W649" s="4"/>
      <c r="X649" s="4"/>
      <c r="Y649" s="4"/>
      <c r="Z649" s="5"/>
      <c r="AA649" s="5"/>
      <c r="AB649" s="5"/>
      <c r="AC649" s="5"/>
      <c r="AD649" s="5"/>
      <c r="AE649" s="5"/>
      <c r="AF649" s="5"/>
      <c r="AG649" s="2"/>
      <c r="AH649" s="2"/>
      <c r="AI649" s="2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spans="1:48" ht="14.25" customHeight="1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3"/>
      <c r="R650" s="3"/>
      <c r="S650" s="3"/>
      <c r="T650" s="2"/>
      <c r="U650" s="2"/>
      <c r="V650" s="2"/>
      <c r="W650" s="4"/>
      <c r="X650" s="4"/>
      <c r="Y650" s="4"/>
      <c r="Z650" s="5"/>
      <c r="AA650" s="5"/>
      <c r="AB650" s="5"/>
      <c r="AC650" s="5"/>
      <c r="AD650" s="5"/>
      <c r="AE650" s="5"/>
      <c r="AF650" s="5"/>
      <c r="AG650" s="2"/>
      <c r="AH650" s="2"/>
      <c r="AI650" s="2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spans="1:48" ht="14.25" customHeight="1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3"/>
      <c r="R651" s="3"/>
      <c r="S651" s="3"/>
      <c r="T651" s="2"/>
      <c r="U651" s="2"/>
      <c r="V651" s="2"/>
      <c r="W651" s="4"/>
      <c r="X651" s="4"/>
      <c r="Y651" s="4"/>
      <c r="Z651" s="5"/>
      <c r="AA651" s="5"/>
      <c r="AB651" s="5"/>
      <c r="AC651" s="5"/>
      <c r="AD651" s="5"/>
      <c r="AE651" s="5"/>
      <c r="AF651" s="5"/>
      <c r="AG651" s="2"/>
      <c r="AH651" s="2"/>
      <c r="AI651" s="2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spans="1:48" ht="14.25" customHeight="1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3"/>
      <c r="R652" s="3"/>
      <c r="S652" s="3"/>
      <c r="T652" s="2"/>
      <c r="U652" s="2"/>
      <c r="V652" s="2"/>
      <c r="W652" s="4"/>
      <c r="X652" s="4"/>
      <c r="Y652" s="4"/>
      <c r="Z652" s="5"/>
      <c r="AA652" s="5"/>
      <c r="AB652" s="5"/>
      <c r="AC652" s="5"/>
      <c r="AD652" s="5"/>
      <c r="AE652" s="5"/>
      <c r="AF652" s="5"/>
      <c r="AG652" s="2"/>
      <c r="AH652" s="2"/>
      <c r="AI652" s="2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spans="1:48" ht="14.25" customHeight="1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3"/>
      <c r="R653" s="3"/>
      <c r="S653" s="3"/>
      <c r="T653" s="2"/>
      <c r="U653" s="2"/>
      <c r="V653" s="2"/>
      <c r="W653" s="4"/>
      <c r="X653" s="4"/>
      <c r="Y653" s="4"/>
      <c r="Z653" s="5"/>
      <c r="AA653" s="5"/>
      <c r="AB653" s="5"/>
      <c r="AC653" s="5"/>
      <c r="AD653" s="5"/>
      <c r="AE653" s="5"/>
      <c r="AF653" s="5"/>
      <c r="AG653" s="2"/>
      <c r="AH653" s="2"/>
      <c r="AI653" s="2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spans="1:48" ht="14.25" customHeight="1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3"/>
      <c r="R654" s="3"/>
      <c r="S654" s="3"/>
      <c r="T654" s="2"/>
      <c r="U654" s="2"/>
      <c r="V654" s="2"/>
      <c r="W654" s="4"/>
      <c r="X654" s="4"/>
      <c r="Y654" s="4"/>
      <c r="Z654" s="5"/>
      <c r="AA654" s="5"/>
      <c r="AB654" s="5"/>
      <c r="AC654" s="5"/>
      <c r="AD654" s="5"/>
      <c r="AE654" s="5"/>
      <c r="AF654" s="5"/>
      <c r="AG654" s="2"/>
      <c r="AH654" s="2"/>
      <c r="AI654" s="2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spans="1:48" ht="14.25" customHeight="1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3"/>
      <c r="R655" s="3"/>
      <c r="S655" s="3"/>
      <c r="T655" s="2"/>
      <c r="U655" s="2"/>
      <c r="V655" s="2"/>
      <c r="W655" s="4"/>
      <c r="X655" s="4"/>
      <c r="Y655" s="4"/>
      <c r="Z655" s="5"/>
      <c r="AA655" s="5"/>
      <c r="AB655" s="5"/>
      <c r="AC655" s="5"/>
      <c r="AD655" s="5"/>
      <c r="AE655" s="5"/>
      <c r="AF655" s="5"/>
      <c r="AG655" s="2"/>
      <c r="AH655" s="2"/>
      <c r="AI655" s="2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spans="1:48" ht="14.25" customHeight="1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3"/>
      <c r="R656" s="3"/>
      <c r="S656" s="3"/>
      <c r="T656" s="2"/>
      <c r="U656" s="2"/>
      <c r="V656" s="2"/>
      <c r="W656" s="4"/>
      <c r="X656" s="4"/>
      <c r="Y656" s="4"/>
      <c r="Z656" s="5"/>
      <c r="AA656" s="5"/>
      <c r="AB656" s="5"/>
      <c r="AC656" s="5"/>
      <c r="AD656" s="5"/>
      <c r="AE656" s="5"/>
      <c r="AF656" s="5"/>
      <c r="AG656" s="2"/>
      <c r="AH656" s="2"/>
      <c r="AI656" s="2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spans="1:48" ht="14.25" customHeight="1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3"/>
      <c r="R657" s="3"/>
      <c r="S657" s="3"/>
      <c r="T657" s="2"/>
      <c r="U657" s="2"/>
      <c r="V657" s="2"/>
      <c r="W657" s="4"/>
      <c r="X657" s="4"/>
      <c r="Y657" s="4"/>
      <c r="Z657" s="5"/>
      <c r="AA657" s="5"/>
      <c r="AB657" s="5"/>
      <c r="AC657" s="5"/>
      <c r="AD657" s="5"/>
      <c r="AE657" s="5"/>
      <c r="AF657" s="5"/>
      <c r="AG657" s="2"/>
      <c r="AH657" s="2"/>
      <c r="AI657" s="2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spans="1:48" ht="14.25" customHeight="1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3"/>
      <c r="R658" s="3"/>
      <c r="S658" s="3"/>
      <c r="T658" s="2"/>
      <c r="U658" s="2"/>
      <c r="V658" s="2"/>
      <c r="W658" s="4"/>
      <c r="X658" s="4"/>
      <c r="Y658" s="4"/>
      <c r="Z658" s="5"/>
      <c r="AA658" s="5"/>
      <c r="AB658" s="5"/>
      <c r="AC658" s="5"/>
      <c r="AD658" s="5"/>
      <c r="AE658" s="5"/>
      <c r="AF658" s="5"/>
      <c r="AG658" s="2"/>
      <c r="AH658" s="2"/>
      <c r="AI658" s="2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spans="1:48" ht="14.25" customHeight="1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3"/>
      <c r="R659" s="3"/>
      <c r="S659" s="3"/>
      <c r="T659" s="2"/>
      <c r="U659" s="2"/>
      <c r="V659" s="2"/>
      <c r="W659" s="4"/>
      <c r="X659" s="4"/>
      <c r="Y659" s="4"/>
      <c r="Z659" s="5"/>
      <c r="AA659" s="5"/>
      <c r="AB659" s="5"/>
      <c r="AC659" s="5"/>
      <c r="AD659" s="5"/>
      <c r="AE659" s="5"/>
      <c r="AF659" s="5"/>
      <c r="AG659" s="2"/>
      <c r="AH659" s="2"/>
      <c r="AI659" s="2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spans="1:48" ht="14.25" customHeight="1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3"/>
      <c r="R660" s="3"/>
      <c r="S660" s="3"/>
      <c r="T660" s="2"/>
      <c r="U660" s="2"/>
      <c r="V660" s="2"/>
      <c r="W660" s="4"/>
      <c r="X660" s="4"/>
      <c r="Y660" s="4"/>
      <c r="Z660" s="5"/>
      <c r="AA660" s="5"/>
      <c r="AB660" s="5"/>
      <c r="AC660" s="5"/>
      <c r="AD660" s="5"/>
      <c r="AE660" s="5"/>
      <c r="AF660" s="5"/>
      <c r="AG660" s="2"/>
      <c r="AH660" s="2"/>
      <c r="AI660" s="2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spans="1:48" ht="14.25" customHeight="1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3"/>
      <c r="R661" s="3"/>
      <c r="S661" s="3"/>
      <c r="T661" s="2"/>
      <c r="U661" s="2"/>
      <c r="V661" s="2"/>
      <c r="W661" s="4"/>
      <c r="X661" s="4"/>
      <c r="Y661" s="4"/>
      <c r="Z661" s="5"/>
      <c r="AA661" s="5"/>
      <c r="AB661" s="5"/>
      <c r="AC661" s="5"/>
      <c r="AD661" s="5"/>
      <c r="AE661" s="5"/>
      <c r="AF661" s="5"/>
      <c r="AG661" s="2"/>
      <c r="AH661" s="2"/>
      <c r="AI661" s="2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spans="1:48" ht="14.25" customHeight="1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3"/>
      <c r="R662" s="3"/>
      <c r="S662" s="3"/>
      <c r="T662" s="2"/>
      <c r="U662" s="2"/>
      <c r="V662" s="2"/>
      <c r="W662" s="4"/>
      <c r="X662" s="4"/>
      <c r="Y662" s="4"/>
      <c r="Z662" s="5"/>
      <c r="AA662" s="5"/>
      <c r="AB662" s="5"/>
      <c r="AC662" s="5"/>
      <c r="AD662" s="5"/>
      <c r="AE662" s="5"/>
      <c r="AF662" s="5"/>
      <c r="AG662" s="2"/>
      <c r="AH662" s="2"/>
      <c r="AI662" s="2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spans="1:48" ht="14.25" customHeight="1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3"/>
      <c r="R663" s="3"/>
      <c r="S663" s="3"/>
      <c r="T663" s="2"/>
      <c r="U663" s="2"/>
      <c r="V663" s="2"/>
      <c r="W663" s="4"/>
      <c r="X663" s="4"/>
      <c r="Y663" s="4"/>
      <c r="Z663" s="5"/>
      <c r="AA663" s="5"/>
      <c r="AB663" s="5"/>
      <c r="AC663" s="5"/>
      <c r="AD663" s="5"/>
      <c r="AE663" s="5"/>
      <c r="AF663" s="5"/>
      <c r="AG663" s="2"/>
      <c r="AH663" s="2"/>
      <c r="AI663" s="2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spans="1:48" ht="14.25" customHeight="1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3"/>
      <c r="R664" s="3"/>
      <c r="S664" s="3"/>
      <c r="T664" s="2"/>
      <c r="U664" s="2"/>
      <c r="V664" s="2"/>
      <c r="W664" s="4"/>
      <c r="X664" s="4"/>
      <c r="Y664" s="4"/>
      <c r="Z664" s="5"/>
      <c r="AA664" s="5"/>
      <c r="AB664" s="5"/>
      <c r="AC664" s="5"/>
      <c r="AD664" s="5"/>
      <c r="AE664" s="5"/>
      <c r="AF664" s="5"/>
      <c r="AG664" s="2"/>
      <c r="AH664" s="2"/>
      <c r="AI664" s="2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spans="1:48" ht="14.25" customHeight="1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3"/>
      <c r="R665" s="3"/>
      <c r="S665" s="3"/>
      <c r="T665" s="2"/>
      <c r="U665" s="2"/>
      <c r="V665" s="2"/>
      <c r="W665" s="4"/>
      <c r="X665" s="4"/>
      <c r="Y665" s="4"/>
      <c r="Z665" s="5"/>
      <c r="AA665" s="5"/>
      <c r="AB665" s="5"/>
      <c r="AC665" s="5"/>
      <c r="AD665" s="5"/>
      <c r="AE665" s="5"/>
      <c r="AF665" s="5"/>
      <c r="AG665" s="2"/>
      <c r="AH665" s="2"/>
      <c r="AI665" s="2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spans="1:48" ht="14.25" customHeight="1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3"/>
      <c r="R666" s="3"/>
      <c r="S666" s="3"/>
      <c r="T666" s="2"/>
      <c r="U666" s="2"/>
      <c r="V666" s="2"/>
      <c r="W666" s="4"/>
      <c r="X666" s="4"/>
      <c r="Y666" s="4"/>
      <c r="Z666" s="5"/>
      <c r="AA666" s="5"/>
      <c r="AB666" s="5"/>
      <c r="AC666" s="5"/>
      <c r="AD666" s="5"/>
      <c r="AE666" s="5"/>
      <c r="AF666" s="5"/>
      <c r="AG666" s="2"/>
      <c r="AH666" s="2"/>
      <c r="AI666" s="2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spans="1:48" ht="14.25" customHeight="1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3"/>
      <c r="R667" s="3"/>
      <c r="S667" s="3"/>
      <c r="T667" s="2"/>
      <c r="U667" s="2"/>
      <c r="V667" s="2"/>
      <c r="W667" s="4"/>
      <c r="X667" s="4"/>
      <c r="Y667" s="4"/>
      <c r="Z667" s="5"/>
      <c r="AA667" s="5"/>
      <c r="AB667" s="5"/>
      <c r="AC667" s="5"/>
      <c r="AD667" s="5"/>
      <c r="AE667" s="5"/>
      <c r="AF667" s="5"/>
      <c r="AG667" s="2"/>
      <c r="AH667" s="2"/>
      <c r="AI667" s="2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spans="1:48" ht="14.25" customHeight="1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3"/>
      <c r="R668" s="3"/>
      <c r="S668" s="3"/>
      <c r="T668" s="2"/>
      <c r="U668" s="2"/>
      <c r="V668" s="2"/>
      <c r="W668" s="4"/>
      <c r="X668" s="4"/>
      <c r="Y668" s="4"/>
      <c r="Z668" s="5"/>
      <c r="AA668" s="5"/>
      <c r="AB668" s="5"/>
      <c r="AC668" s="5"/>
      <c r="AD668" s="5"/>
      <c r="AE668" s="5"/>
      <c r="AF668" s="5"/>
      <c r="AG668" s="2"/>
      <c r="AH668" s="2"/>
      <c r="AI668" s="2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spans="1:48" ht="14.25" customHeight="1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3"/>
      <c r="R669" s="3"/>
      <c r="S669" s="3"/>
      <c r="T669" s="2"/>
      <c r="U669" s="2"/>
      <c r="V669" s="2"/>
      <c r="W669" s="4"/>
      <c r="X669" s="4"/>
      <c r="Y669" s="4"/>
      <c r="Z669" s="5"/>
      <c r="AA669" s="5"/>
      <c r="AB669" s="5"/>
      <c r="AC669" s="5"/>
      <c r="AD669" s="5"/>
      <c r="AE669" s="5"/>
      <c r="AF669" s="5"/>
      <c r="AG669" s="2"/>
      <c r="AH669" s="2"/>
      <c r="AI669" s="2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spans="1:48" ht="14.25" customHeight="1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3"/>
      <c r="R670" s="3"/>
      <c r="S670" s="3"/>
      <c r="T670" s="2"/>
      <c r="U670" s="2"/>
      <c r="V670" s="2"/>
      <c r="W670" s="4"/>
      <c r="X670" s="4"/>
      <c r="Y670" s="4"/>
      <c r="Z670" s="5"/>
      <c r="AA670" s="5"/>
      <c r="AB670" s="5"/>
      <c r="AC670" s="5"/>
      <c r="AD670" s="5"/>
      <c r="AE670" s="5"/>
      <c r="AF670" s="5"/>
      <c r="AG670" s="2"/>
      <c r="AH670" s="2"/>
      <c r="AI670" s="2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spans="1:48" ht="14.25" customHeight="1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3"/>
      <c r="R671" s="3"/>
      <c r="S671" s="3"/>
      <c r="T671" s="2"/>
      <c r="U671" s="2"/>
      <c r="V671" s="2"/>
      <c r="W671" s="4"/>
      <c r="X671" s="4"/>
      <c r="Y671" s="4"/>
      <c r="Z671" s="5"/>
      <c r="AA671" s="5"/>
      <c r="AB671" s="5"/>
      <c r="AC671" s="5"/>
      <c r="AD671" s="5"/>
      <c r="AE671" s="5"/>
      <c r="AF671" s="5"/>
      <c r="AG671" s="2"/>
      <c r="AH671" s="2"/>
      <c r="AI671" s="2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spans="1:48" ht="14.25" customHeight="1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3"/>
      <c r="R672" s="3"/>
      <c r="S672" s="3"/>
      <c r="T672" s="2"/>
      <c r="U672" s="2"/>
      <c r="V672" s="2"/>
      <c r="W672" s="4"/>
      <c r="X672" s="4"/>
      <c r="Y672" s="4"/>
      <c r="Z672" s="5"/>
      <c r="AA672" s="5"/>
      <c r="AB672" s="5"/>
      <c r="AC672" s="5"/>
      <c r="AD672" s="5"/>
      <c r="AE672" s="5"/>
      <c r="AF672" s="5"/>
      <c r="AG672" s="2"/>
      <c r="AH672" s="2"/>
      <c r="AI672" s="2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spans="1:48" ht="14.25" customHeight="1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3"/>
      <c r="R673" s="3"/>
      <c r="S673" s="3"/>
      <c r="T673" s="2"/>
      <c r="U673" s="2"/>
      <c r="V673" s="2"/>
      <c r="W673" s="4"/>
      <c r="X673" s="4"/>
      <c r="Y673" s="4"/>
      <c r="Z673" s="5"/>
      <c r="AA673" s="5"/>
      <c r="AB673" s="5"/>
      <c r="AC673" s="5"/>
      <c r="AD673" s="5"/>
      <c r="AE673" s="5"/>
      <c r="AF673" s="5"/>
      <c r="AG673" s="2"/>
      <c r="AH673" s="2"/>
      <c r="AI673" s="2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spans="1:48" ht="14.25" customHeight="1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3"/>
      <c r="R674" s="3"/>
      <c r="S674" s="3"/>
      <c r="T674" s="2"/>
      <c r="U674" s="2"/>
      <c r="V674" s="2"/>
      <c r="W674" s="4"/>
      <c r="X674" s="4"/>
      <c r="Y674" s="4"/>
      <c r="Z674" s="5"/>
      <c r="AA674" s="5"/>
      <c r="AB674" s="5"/>
      <c r="AC674" s="5"/>
      <c r="AD674" s="5"/>
      <c r="AE674" s="5"/>
      <c r="AF674" s="5"/>
      <c r="AG674" s="2"/>
      <c r="AH674" s="2"/>
      <c r="AI674" s="2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spans="1:48" ht="14.25" customHeight="1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3"/>
      <c r="R675" s="3"/>
      <c r="S675" s="3"/>
      <c r="T675" s="2"/>
      <c r="U675" s="2"/>
      <c r="V675" s="2"/>
      <c r="W675" s="4"/>
      <c r="X675" s="4"/>
      <c r="Y675" s="4"/>
      <c r="Z675" s="5"/>
      <c r="AA675" s="5"/>
      <c r="AB675" s="5"/>
      <c r="AC675" s="5"/>
      <c r="AD675" s="5"/>
      <c r="AE675" s="5"/>
      <c r="AF675" s="5"/>
      <c r="AG675" s="2"/>
      <c r="AH675" s="2"/>
      <c r="AI675" s="2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spans="1:48" ht="14.25" customHeight="1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3"/>
      <c r="R676" s="3"/>
      <c r="S676" s="3"/>
      <c r="T676" s="2"/>
      <c r="U676" s="2"/>
      <c r="V676" s="2"/>
      <c r="W676" s="4"/>
      <c r="X676" s="4"/>
      <c r="Y676" s="4"/>
      <c r="Z676" s="5"/>
      <c r="AA676" s="5"/>
      <c r="AB676" s="5"/>
      <c r="AC676" s="5"/>
      <c r="AD676" s="5"/>
      <c r="AE676" s="5"/>
      <c r="AF676" s="5"/>
      <c r="AG676" s="2"/>
      <c r="AH676" s="2"/>
      <c r="AI676" s="2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spans="1:48" ht="14.25" customHeight="1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3"/>
      <c r="R677" s="3"/>
      <c r="S677" s="3"/>
      <c r="T677" s="2"/>
      <c r="U677" s="2"/>
      <c r="V677" s="2"/>
      <c r="W677" s="4"/>
      <c r="X677" s="4"/>
      <c r="Y677" s="4"/>
      <c r="Z677" s="5"/>
      <c r="AA677" s="5"/>
      <c r="AB677" s="5"/>
      <c r="AC677" s="5"/>
      <c r="AD677" s="5"/>
      <c r="AE677" s="5"/>
      <c r="AF677" s="5"/>
      <c r="AG677" s="2"/>
      <c r="AH677" s="2"/>
      <c r="AI677" s="2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spans="1:48" ht="14.25" customHeight="1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3"/>
      <c r="R678" s="3"/>
      <c r="S678" s="3"/>
      <c r="T678" s="2"/>
      <c r="U678" s="2"/>
      <c r="V678" s="2"/>
      <c r="W678" s="4"/>
      <c r="X678" s="4"/>
      <c r="Y678" s="4"/>
      <c r="Z678" s="5"/>
      <c r="AA678" s="5"/>
      <c r="AB678" s="5"/>
      <c r="AC678" s="5"/>
      <c r="AD678" s="5"/>
      <c r="AE678" s="5"/>
      <c r="AF678" s="5"/>
      <c r="AG678" s="2"/>
      <c r="AH678" s="2"/>
      <c r="AI678" s="2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spans="1:48" ht="14.25" customHeight="1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3"/>
      <c r="R679" s="3"/>
      <c r="S679" s="3"/>
      <c r="T679" s="2"/>
      <c r="U679" s="2"/>
      <c r="V679" s="2"/>
      <c r="W679" s="4"/>
      <c r="X679" s="4"/>
      <c r="Y679" s="4"/>
      <c r="Z679" s="5"/>
      <c r="AA679" s="5"/>
      <c r="AB679" s="5"/>
      <c r="AC679" s="5"/>
      <c r="AD679" s="5"/>
      <c r="AE679" s="5"/>
      <c r="AF679" s="5"/>
      <c r="AG679" s="2"/>
      <c r="AH679" s="2"/>
      <c r="AI679" s="2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spans="1:48" ht="14.25" customHeight="1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3"/>
      <c r="R680" s="3"/>
      <c r="S680" s="3"/>
      <c r="T680" s="2"/>
      <c r="U680" s="2"/>
      <c r="V680" s="2"/>
      <c r="W680" s="4"/>
      <c r="X680" s="4"/>
      <c r="Y680" s="4"/>
      <c r="Z680" s="5"/>
      <c r="AA680" s="5"/>
      <c r="AB680" s="5"/>
      <c r="AC680" s="5"/>
      <c r="AD680" s="5"/>
      <c r="AE680" s="5"/>
      <c r="AF680" s="5"/>
      <c r="AG680" s="2"/>
      <c r="AH680" s="2"/>
      <c r="AI680" s="2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spans="1:48" ht="14.25" customHeight="1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3"/>
      <c r="R681" s="3"/>
      <c r="S681" s="3"/>
      <c r="T681" s="2"/>
      <c r="U681" s="2"/>
      <c r="V681" s="2"/>
      <c r="W681" s="4"/>
      <c r="X681" s="4"/>
      <c r="Y681" s="4"/>
      <c r="Z681" s="5"/>
      <c r="AA681" s="5"/>
      <c r="AB681" s="5"/>
      <c r="AC681" s="5"/>
      <c r="AD681" s="5"/>
      <c r="AE681" s="5"/>
      <c r="AF681" s="5"/>
      <c r="AG681" s="2"/>
      <c r="AH681" s="2"/>
      <c r="AI681" s="2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spans="1:48" ht="14.25" customHeight="1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3"/>
      <c r="R682" s="3"/>
      <c r="S682" s="3"/>
      <c r="T682" s="2"/>
      <c r="U682" s="2"/>
      <c r="V682" s="2"/>
      <c r="W682" s="4"/>
      <c r="X682" s="4"/>
      <c r="Y682" s="4"/>
      <c r="Z682" s="5"/>
      <c r="AA682" s="5"/>
      <c r="AB682" s="5"/>
      <c r="AC682" s="5"/>
      <c r="AD682" s="5"/>
      <c r="AE682" s="5"/>
      <c r="AF682" s="5"/>
      <c r="AG682" s="2"/>
      <c r="AH682" s="2"/>
      <c r="AI682" s="2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spans="1:48" ht="14.25" customHeight="1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3"/>
      <c r="R683" s="3"/>
      <c r="S683" s="3"/>
      <c r="T683" s="2"/>
      <c r="U683" s="2"/>
      <c r="V683" s="2"/>
      <c r="W683" s="4"/>
      <c r="X683" s="4"/>
      <c r="Y683" s="4"/>
      <c r="Z683" s="5"/>
      <c r="AA683" s="5"/>
      <c r="AB683" s="5"/>
      <c r="AC683" s="5"/>
      <c r="AD683" s="5"/>
      <c r="AE683" s="5"/>
      <c r="AF683" s="5"/>
      <c r="AG683" s="2"/>
      <c r="AH683" s="2"/>
      <c r="AI683" s="2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spans="1:48" ht="14.25" customHeight="1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3"/>
      <c r="R684" s="3"/>
      <c r="S684" s="3"/>
      <c r="T684" s="2"/>
      <c r="U684" s="2"/>
      <c r="V684" s="2"/>
      <c r="W684" s="4"/>
      <c r="X684" s="4"/>
      <c r="Y684" s="4"/>
      <c r="Z684" s="5"/>
      <c r="AA684" s="5"/>
      <c r="AB684" s="5"/>
      <c r="AC684" s="5"/>
      <c r="AD684" s="5"/>
      <c r="AE684" s="5"/>
      <c r="AF684" s="5"/>
      <c r="AG684" s="2"/>
      <c r="AH684" s="2"/>
      <c r="AI684" s="2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spans="1:48" ht="14.25" customHeight="1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3"/>
      <c r="R685" s="3"/>
      <c r="S685" s="3"/>
      <c r="T685" s="2"/>
      <c r="U685" s="2"/>
      <c r="V685" s="2"/>
      <c r="W685" s="4"/>
      <c r="X685" s="4"/>
      <c r="Y685" s="4"/>
      <c r="Z685" s="5"/>
      <c r="AA685" s="5"/>
      <c r="AB685" s="5"/>
      <c r="AC685" s="5"/>
      <c r="AD685" s="5"/>
      <c r="AE685" s="5"/>
      <c r="AF685" s="5"/>
      <c r="AG685" s="2"/>
      <c r="AH685" s="2"/>
      <c r="AI685" s="2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spans="1:48" ht="14.25" customHeight="1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3"/>
      <c r="R686" s="3"/>
      <c r="S686" s="3"/>
      <c r="T686" s="2"/>
      <c r="U686" s="2"/>
      <c r="V686" s="2"/>
      <c r="W686" s="4"/>
      <c r="X686" s="4"/>
      <c r="Y686" s="4"/>
      <c r="Z686" s="5"/>
      <c r="AA686" s="5"/>
      <c r="AB686" s="5"/>
      <c r="AC686" s="5"/>
      <c r="AD686" s="5"/>
      <c r="AE686" s="5"/>
      <c r="AF686" s="5"/>
      <c r="AG686" s="2"/>
      <c r="AH686" s="2"/>
      <c r="AI686" s="2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spans="1:48" ht="14.25" customHeight="1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3"/>
      <c r="R687" s="3"/>
      <c r="S687" s="3"/>
      <c r="T687" s="2"/>
      <c r="U687" s="2"/>
      <c r="V687" s="2"/>
      <c r="W687" s="4"/>
      <c r="X687" s="4"/>
      <c r="Y687" s="4"/>
      <c r="Z687" s="5"/>
      <c r="AA687" s="5"/>
      <c r="AB687" s="5"/>
      <c r="AC687" s="5"/>
      <c r="AD687" s="5"/>
      <c r="AE687" s="5"/>
      <c r="AF687" s="5"/>
      <c r="AG687" s="2"/>
      <c r="AH687" s="2"/>
      <c r="AI687" s="2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spans="1:48" ht="14.25" customHeight="1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3"/>
      <c r="R688" s="3"/>
      <c r="S688" s="3"/>
      <c r="T688" s="2"/>
      <c r="U688" s="2"/>
      <c r="V688" s="2"/>
      <c r="W688" s="4"/>
      <c r="X688" s="4"/>
      <c r="Y688" s="4"/>
      <c r="Z688" s="5"/>
      <c r="AA688" s="5"/>
      <c r="AB688" s="5"/>
      <c r="AC688" s="5"/>
      <c r="AD688" s="5"/>
      <c r="AE688" s="5"/>
      <c r="AF688" s="5"/>
      <c r="AG688" s="2"/>
      <c r="AH688" s="2"/>
      <c r="AI688" s="2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spans="1:48" ht="14.25" customHeight="1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3"/>
      <c r="R689" s="3"/>
      <c r="S689" s="3"/>
      <c r="T689" s="2"/>
      <c r="U689" s="2"/>
      <c r="V689" s="2"/>
      <c r="W689" s="4"/>
      <c r="X689" s="4"/>
      <c r="Y689" s="4"/>
      <c r="Z689" s="5"/>
      <c r="AA689" s="5"/>
      <c r="AB689" s="5"/>
      <c r="AC689" s="5"/>
      <c r="AD689" s="5"/>
      <c r="AE689" s="5"/>
      <c r="AF689" s="5"/>
      <c r="AG689" s="2"/>
      <c r="AH689" s="2"/>
      <c r="AI689" s="2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spans="1:48" ht="14.25" customHeight="1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3"/>
      <c r="R690" s="3"/>
      <c r="S690" s="3"/>
      <c r="T690" s="2"/>
      <c r="U690" s="2"/>
      <c r="V690" s="2"/>
      <c r="W690" s="4"/>
      <c r="X690" s="4"/>
      <c r="Y690" s="4"/>
      <c r="Z690" s="5"/>
      <c r="AA690" s="5"/>
      <c r="AB690" s="5"/>
      <c r="AC690" s="5"/>
      <c r="AD690" s="5"/>
      <c r="AE690" s="5"/>
      <c r="AF690" s="5"/>
      <c r="AG690" s="2"/>
      <c r="AH690" s="2"/>
      <c r="AI690" s="2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spans="1:48" ht="14.25" customHeight="1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3"/>
      <c r="R691" s="3"/>
      <c r="S691" s="3"/>
      <c r="T691" s="2"/>
      <c r="U691" s="2"/>
      <c r="V691" s="2"/>
      <c r="W691" s="4"/>
      <c r="X691" s="4"/>
      <c r="Y691" s="4"/>
      <c r="Z691" s="5"/>
      <c r="AA691" s="5"/>
      <c r="AB691" s="5"/>
      <c r="AC691" s="5"/>
      <c r="AD691" s="5"/>
      <c r="AE691" s="5"/>
      <c r="AF691" s="5"/>
      <c r="AG691" s="2"/>
      <c r="AH691" s="2"/>
      <c r="AI691" s="2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spans="1:48" ht="14.25" customHeight="1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3"/>
      <c r="R692" s="3"/>
      <c r="S692" s="3"/>
      <c r="T692" s="2"/>
      <c r="U692" s="2"/>
      <c r="V692" s="2"/>
      <c r="W692" s="4"/>
      <c r="X692" s="4"/>
      <c r="Y692" s="4"/>
      <c r="Z692" s="5"/>
      <c r="AA692" s="5"/>
      <c r="AB692" s="5"/>
      <c r="AC692" s="5"/>
      <c r="AD692" s="5"/>
      <c r="AE692" s="5"/>
      <c r="AF692" s="5"/>
      <c r="AG692" s="2"/>
      <c r="AH692" s="2"/>
      <c r="AI692" s="2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spans="1:48" ht="14.25" customHeight="1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3"/>
      <c r="R693" s="3"/>
      <c r="S693" s="3"/>
      <c r="T693" s="2"/>
      <c r="U693" s="2"/>
      <c r="V693" s="2"/>
      <c r="W693" s="4"/>
      <c r="X693" s="4"/>
      <c r="Y693" s="4"/>
      <c r="Z693" s="5"/>
      <c r="AA693" s="5"/>
      <c r="AB693" s="5"/>
      <c r="AC693" s="5"/>
      <c r="AD693" s="5"/>
      <c r="AE693" s="5"/>
      <c r="AF693" s="5"/>
      <c r="AG693" s="2"/>
      <c r="AH693" s="2"/>
      <c r="AI693" s="2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spans="1:48" ht="14.25" customHeight="1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3"/>
      <c r="R694" s="3"/>
      <c r="S694" s="3"/>
      <c r="T694" s="2"/>
      <c r="U694" s="2"/>
      <c r="V694" s="2"/>
      <c r="W694" s="4"/>
      <c r="X694" s="4"/>
      <c r="Y694" s="4"/>
      <c r="Z694" s="5"/>
      <c r="AA694" s="5"/>
      <c r="AB694" s="5"/>
      <c r="AC694" s="5"/>
      <c r="AD694" s="5"/>
      <c r="AE694" s="5"/>
      <c r="AF694" s="5"/>
      <c r="AG694" s="2"/>
      <c r="AH694" s="2"/>
      <c r="AI694" s="2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spans="1:48" ht="14.25" customHeight="1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3"/>
      <c r="R695" s="3"/>
      <c r="S695" s="3"/>
      <c r="T695" s="2"/>
      <c r="U695" s="2"/>
      <c r="V695" s="2"/>
      <c r="W695" s="4"/>
      <c r="X695" s="4"/>
      <c r="Y695" s="4"/>
      <c r="Z695" s="5"/>
      <c r="AA695" s="5"/>
      <c r="AB695" s="5"/>
      <c r="AC695" s="5"/>
      <c r="AD695" s="5"/>
      <c r="AE695" s="5"/>
      <c r="AF695" s="5"/>
      <c r="AG695" s="2"/>
      <c r="AH695" s="2"/>
      <c r="AI695" s="2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spans="1:48" ht="14.25" customHeight="1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3"/>
      <c r="R696" s="3"/>
      <c r="S696" s="3"/>
      <c r="T696" s="2"/>
      <c r="U696" s="2"/>
      <c r="V696" s="2"/>
      <c r="W696" s="4"/>
      <c r="X696" s="4"/>
      <c r="Y696" s="4"/>
      <c r="Z696" s="5"/>
      <c r="AA696" s="5"/>
      <c r="AB696" s="5"/>
      <c r="AC696" s="5"/>
      <c r="AD696" s="5"/>
      <c r="AE696" s="5"/>
      <c r="AF696" s="5"/>
      <c r="AG696" s="2"/>
      <c r="AH696" s="2"/>
      <c r="AI696" s="2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spans="1:48" ht="14.25" customHeight="1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3"/>
      <c r="R697" s="3"/>
      <c r="S697" s="3"/>
      <c r="T697" s="2"/>
      <c r="U697" s="2"/>
      <c r="V697" s="2"/>
      <c r="W697" s="4"/>
      <c r="X697" s="4"/>
      <c r="Y697" s="4"/>
      <c r="Z697" s="5"/>
      <c r="AA697" s="5"/>
      <c r="AB697" s="5"/>
      <c r="AC697" s="5"/>
      <c r="AD697" s="5"/>
      <c r="AE697" s="5"/>
      <c r="AF697" s="5"/>
      <c r="AG697" s="2"/>
      <c r="AH697" s="2"/>
      <c r="AI697" s="2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spans="1:48" ht="14.25" customHeight="1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3"/>
      <c r="R698" s="3"/>
      <c r="S698" s="3"/>
      <c r="T698" s="2"/>
      <c r="U698" s="2"/>
      <c r="V698" s="2"/>
      <c r="W698" s="4"/>
      <c r="X698" s="4"/>
      <c r="Y698" s="4"/>
      <c r="Z698" s="5"/>
      <c r="AA698" s="5"/>
      <c r="AB698" s="5"/>
      <c r="AC698" s="5"/>
      <c r="AD698" s="5"/>
      <c r="AE698" s="5"/>
      <c r="AF698" s="5"/>
      <c r="AG698" s="2"/>
      <c r="AH698" s="2"/>
      <c r="AI698" s="2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spans="1:48" ht="14.25" customHeight="1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3"/>
      <c r="R699" s="3"/>
      <c r="S699" s="3"/>
      <c r="T699" s="2"/>
      <c r="U699" s="2"/>
      <c r="V699" s="2"/>
      <c r="W699" s="4"/>
      <c r="X699" s="4"/>
      <c r="Y699" s="4"/>
      <c r="Z699" s="5"/>
      <c r="AA699" s="5"/>
      <c r="AB699" s="5"/>
      <c r="AC699" s="5"/>
      <c r="AD699" s="5"/>
      <c r="AE699" s="5"/>
      <c r="AF699" s="5"/>
      <c r="AG699" s="2"/>
      <c r="AH699" s="2"/>
      <c r="AI699" s="2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spans="1:48" ht="14.25" customHeight="1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3"/>
      <c r="R700" s="3"/>
      <c r="S700" s="3"/>
      <c r="T700" s="2"/>
      <c r="U700" s="2"/>
      <c r="V700" s="2"/>
      <c r="W700" s="4"/>
      <c r="X700" s="4"/>
      <c r="Y700" s="4"/>
      <c r="Z700" s="5"/>
      <c r="AA700" s="5"/>
      <c r="AB700" s="5"/>
      <c r="AC700" s="5"/>
      <c r="AD700" s="5"/>
      <c r="AE700" s="5"/>
      <c r="AF700" s="5"/>
      <c r="AG700" s="2"/>
      <c r="AH700" s="2"/>
      <c r="AI700" s="2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spans="1:48" ht="14.25" customHeight="1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3"/>
      <c r="R701" s="3"/>
      <c r="S701" s="3"/>
      <c r="T701" s="2"/>
      <c r="U701" s="2"/>
      <c r="V701" s="2"/>
      <c r="W701" s="4"/>
      <c r="X701" s="4"/>
      <c r="Y701" s="4"/>
      <c r="Z701" s="5"/>
      <c r="AA701" s="5"/>
      <c r="AB701" s="5"/>
      <c r="AC701" s="5"/>
      <c r="AD701" s="5"/>
      <c r="AE701" s="5"/>
      <c r="AF701" s="5"/>
      <c r="AG701" s="2"/>
      <c r="AH701" s="2"/>
      <c r="AI701" s="2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spans="1:48" ht="14.25" customHeight="1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3"/>
      <c r="R702" s="3"/>
      <c r="S702" s="3"/>
      <c r="T702" s="2"/>
      <c r="U702" s="2"/>
      <c r="V702" s="2"/>
      <c r="W702" s="4"/>
      <c r="X702" s="4"/>
      <c r="Y702" s="4"/>
      <c r="Z702" s="5"/>
      <c r="AA702" s="5"/>
      <c r="AB702" s="5"/>
      <c r="AC702" s="5"/>
      <c r="AD702" s="5"/>
      <c r="AE702" s="5"/>
      <c r="AF702" s="5"/>
      <c r="AG702" s="2"/>
      <c r="AH702" s="2"/>
      <c r="AI702" s="2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spans="1:48" ht="14.25" customHeight="1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3"/>
      <c r="R703" s="3"/>
      <c r="S703" s="3"/>
      <c r="T703" s="2"/>
      <c r="U703" s="2"/>
      <c r="V703" s="2"/>
      <c r="W703" s="4"/>
      <c r="X703" s="4"/>
      <c r="Y703" s="4"/>
      <c r="Z703" s="5"/>
      <c r="AA703" s="5"/>
      <c r="AB703" s="5"/>
      <c r="AC703" s="5"/>
      <c r="AD703" s="5"/>
      <c r="AE703" s="5"/>
      <c r="AF703" s="5"/>
      <c r="AG703" s="2"/>
      <c r="AH703" s="2"/>
      <c r="AI703" s="2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spans="1:48" ht="14.25" customHeight="1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3"/>
      <c r="R704" s="3"/>
      <c r="S704" s="3"/>
      <c r="T704" s="2"/>
      <c r="U704" s="2"/>
      <c r="V704" s="2"/>
      <c r="W704" s="4"/>
      <c r="X704" s="4"/>
      <c r="Y704" s="4"/>
      <c r="Z704" s="5"/>
      <c r="AA704" s="5"/>
      <c r="AB704" s="5"/>
      <c r="AC704" s="5"/>
      <c r="AD704" s="5"/>
      <c r="AE704" s="5"/>
      <c r="AF704" s="5"/>
      <c r="AG704" s="2"/>
      <c r="AH704" s="2"/>
      <c r="AI704" s="2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spans="1:48" ht="14.25" customHeight="1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3"/>
      <c r="R705" s="3"/>
      <c r="S705" s="3"/>
      <c r="T705" s="2"/>
      <c r="U705" s="2"/>
      <c r="V705" s="2"/>
      <c r="W705" s="4"/>
      <c r="X705" s="4"/>
      <c r="Y705" s="4"/>
      <c r="Z705" s="5"/>
      <c r="AA705" s="5"/>
      <c r="AB705" s="5"/>
      <c r="AC705" s="5"/>
      <c r="AD705" s="5"/>
      <c r="AE705" s="5"/>
      <c r="AF705" s="5"/>
      <c r="AG705" s="2"/>
      <c r="AH705" s="2"/>
      <c r="AI705" s="2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spans="1:48" ht="14.25" customHeight="1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3"/>
      <c r="R706" s="3"/>
      <c r="S706" s="3"/>
      <c r="T706" s="2"/>
      <c r="U706" s="2"/>
      <c r="V706" s="2"/>
      <c r="W706" s="4"/>
      <c r="X706" s="4"/>
      <c r="Y706" s="4"/>
      <c r="Z706" s="5"/>
      <c r="AA706" s="5"/>
      <c r="AB706" s="5"/>
      <c r="AC706" s="5"/>
      <c r="AD706" s="5"/>
      <c r="AE706" s="5"/>
      <c r="AF706" s="5"/>
      <c r="AG706" s="2"/>
      <c r="AH706" s="2"/>
      <c r="AI706" s="2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spans="1:48" ht="14.25" customHeight="1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3"/>
      <c r="R707" s="3"/>
      <c r="S707" s="3"/>
      <c r="T707" s="2"/>
      <c r="U707" s="2"/>
      <c r="V707" s="2"/>
      <c r="W707" s="4"/>
      <c r="X707" s="4"/>
      <c r="Y707" s="4"/>
      <c r="Z707" s="5"/>
      <c r="AA707" s="5"/>
      <c r="AB707" s="5"/>
      <c r="AC707" s="5"/>
      <c r="AD707" s="5"/>
      <c r="AE707" s="5"/>
      <c r="AF707" s="5"/>
      <c r="AG707" s="2"/>
      <c r="AH707" s="2"/>
      <c r="AI707" s="2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spans="1:48" ht="14.25" customHeight="1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3"/>
      <c r="R708" s="3"/>
      <c r="S708" s="3"/>
      <c r="T708" s="2"/>
      <c r="U708" s="2"/>
      <c r="V708" s="2"/>
      <c r="W708" s="4"/>
      <c r="X708" s="4"/>
      <c r="Y708" s="4"/>
      <c r="Z708" s="5"/>
      <c r="AA708" s="5"/>
      <c r="AB708" s="5"/>
      <c r="AC708" s="5"/>
      <c r="AD708" s="5"/>
      <c r="AE708" s="5"/>
      <c r="AF708" s="5"/>
      <c r="AG708" s="2"/>
      <c r="AH708" s="2"/>
      <c r="AI708" s="2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spans="1:48" ht="14.25" customHeight="1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3"/>
      <c r="R709" s="3"/>
      <c r="S709" s="3"/>
      <c r="T709" s="2"/>
      <c r="U709" s="2"/>
      <c r="V709" s="2"/>
      <c r="W709" s="4"/>
      <c r="X709" s="4"/>
      <c r="Y709" s="4"/>
      <c r="Z709" s="5"/>
      <c r="AA709" s="5"/>
      <c r="AB709" s="5"/>
      <c r="AC709" s="5"/>
      <c r="AD709" s="5"/>
      <c r="AE709" s="5"/>
      <c r="AF709" s="5"/>
      <c r="AG709" s="2"/>
      <c r="AH709" s="2"/>
      <c r="AI709" s="2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spans="1:48" ht="14.25" customHeight="1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3"/>
      <c r="R710" s="3"/>
      <c r="S710" s="3"/>
      <c r="T710" s="2"/>
      <c r="U710" s="2"/>
      <c r="V710" s="2"/>
      <c r="W710" s="4"/>
      <c r="X710" s="4"/>
      <c r="Y710" s="4"/>
      <c r="Z710" s="5"/>
      <c r="AA710" s="5"/>
      <c r="AB710" s="5"/>
      <c r="AC710" s="5"/>
      <c r="AD710" s="5"/>
      <c r="AE710" s="5"/>
      <c r="AF710" s="5"/>
      <c r="AG710" s="2"/>
      <c r="AH710" s="2"/>
      <c r="AI710" s="2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spans="1:48" ht="14.25" customHeight="1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3"/>
      <c r="R711" s="3"/>
      <c r="S711" s="3"/>
      <c r="T711" s="2"/>
      <c r="U711" s="2"/>
      <c r="V711" s="2"/>
      <c r="W711" s="4"/>
      <c r="X711" s="4"/>
      <c r="Y711" s="4"/>
      <c r="Z711" s="5"/>
      <c r="AA711" s="5"/>
      <c r="AB711" s="5"/>
      <c r="AC711" s="5"/>
      <c r="AD711" s="5"/>
      <c r="AE711" s="5"/>
      <c r="AF711" s="5"/>
      <c r="AG711" s="2"/>
      <c r="AH711" s="2"/>
      <c r="AI711" s="2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spans="1:48" ht="14.25" customHeight="1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3"/>
      <c r="R712" s="3"/>
      <c r="S712" s="3"/>
      <c r="T712" s="2"/>
      <c r="U712" s="2"/>
      <c r="V712" s="2"/>
      <c r="W712" s="4"/>
      <c r="X712" s="4"/>
      <c r="Y712" s="4"/>
      <c r="Z712" s="5"/>
      <c r="AA712" s="5"/>
      <c r="AB712" s="5"/>
      <c r="AC712" s="5"/>
      <c r="AD712" s="5"/>
      <c r="AE712" s="5"/>
      <c r="AF712" s="5"/>
      <c r="AG712" s="2"/>
      <c r="AH712" s="2"/>
      <c r="AI712" s="2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spans="1:48" ht="14.25" customHeight="1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3"/>
      <c r="R713" s="3"/>
      <c r="S713" s="3"/>
      <c r="T713" s="2"/>
      <c r="U713" s="2"/>
      <c r="V713" s="2"/>
      <c r="W713" s="4"/>
      <c r="X713" s="4"/>
      <c r="Y713" s="4"/>
      <c r="Z713" s="5"/>
      <c r="AA713" s="5"/>
      <c r="AB713" s="5"/>
      <c r="AC713" s="5"/>
      <c r="AD713" s="5"/>
      <c r="AE713" s="5"/>
      <c r="AF713" s="5"/>
      <c r="AG713" s="2"/>
      <c r="AH713" s="2"/>
      <c r="AI713" s="2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spans="1:48" ht="14.25" customHeight="1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3"/>
      <c r="R714" s="3"/>
      <c r="S714" s="3"/>
      <c r="T714" s="2"/>
      <c r="U714" s="2"/>
      <c r="V714" s="2"/>
      <c r="W714" s="4"/>
      <c r="X714" s="4"/>
      <c r="Y714" s="4"/>
      <c r="Z714" s="5"/>
      <c r="AA714" s="5"/>
      <c r="AB714" s="5"/>
      <c r="AC714" s="5"/>
      <c r="AD714" s="5"/>
      <c r="AE714" s="5"/>
      <c r="AF714" s="5"/>
      <c r="AG714" s="2"/>
      <c r="AH714" s="2"/>
      <c r="AI714" s="2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spans="1:48" ht="14.25" customHeight="1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3"/>
      <c r="R715" s="3"/>
      <c r="S715" s="3"/>
      <c r="T715" s="2"/>
      <c r="U715" s="2"/>
      <c r="V715" s="2"/>
      <c r="W715" s="4"/>
      <c r="X715" s="4"/>
      <c r="Y715" s="4"/>
      <c r="Z715" s="5"/>
      <c r="AA715" s="5"/>
      <c r="AB715" s="5"/>
      <c r="AC715" s="5"/>
      <c r="AD715" s="5"/>
      <c r="AE715" s="5"/>
      <c r="AF715" s="5"/>
      <c r="AG715" s="2"/>
      <c r="AH715" s="2"/>
      <c r="AI715" s="2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spans="1:48" ht="14.25" customHeight="1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3"/>
      <c r="R716" s="3"/>
      <c r="S716" s="3"/>
      <c r="T716" s="2"/>
      <c r="U716" s="2"/>
      <c r="V716" s="2"/>
      <c r="W716" s="4"/>
      <c r="X716" s="4"/>
      <c r="Y716" s="4"/>
      <c r="Z716" s="5"/>
      <c r="AA716" s="5"/>
      <c r="AB716" s="5"/>
      <c r="AC716" s="5"/>
      <c r="AD716" s="5"/>
      <c r="AE716" s="5"/>
      <c r="AF716" s="5"/>
      <c r="AG716" s="2"/>
      <c r="AH716" s="2"/>
      <c r="AI716" s="2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spans="1:48" ht="14.25" customHeight="1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3"/>
      <c r="R717" s="3"/>
      <c r="S717" s="3"/>
      <c r="T717" s="2"/>
      <c r="U717" s="2"/>
      <c r="V717" s="2"/>
      <c r="W717" s="4"/>
      <c r="X717" s="4"/>
      <c r="Y717" s="4"/>
      <c r="Z717" s="5"/>
      <c r="AA717" s="5"/>
      <c r="AB717" s="5"/>
      <c r="AC717" s="5"/>
      <c r="AD717" s="5"/>
      <c r="AE717" s="5"/>
      <c r="AF717" s="5"/>
      <c r="AG717" s="2"/>
      <c r="AH717" s="2"/>
      <c r="AI717" s="2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spans="1:48" ht="14.25" customHeight="1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3"/>
      <c r="R718" s="3"/>
      <c r="S718" s="3"/>
      <c r="T718" s="2"/>
      <c r="U718" s="2"/>
      <c r="V718" s="2"/>
      <c r="W718" s="4"/>
      <c r="X718" s="4"/>
      <c r="Y718" s="4"/>
      <c r="Z718" s="5"/>
      <c r="AA718" s="5"/>
      <c r="AB718" s="5"/>
      <c r="AC718" s="5"/>
      <c r="AD718" s="5"/>
      <c r="AE718" s="5"/>
      <c r="AF718" s="5"/>
      <c r="AG718" s="2"/>
      <c r="AH718" s="2"/>
      <c r="AI718" s="2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spans="1:48" ht="14.25" customHeight="1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3"/>
      <c r="R719" s="3"/>
      <c r="S719" s="3"/>
      <c r="T719" s="2"/>
      <c r="U719" s="2"/>
      <c r="V719" s="2"/>
      <c r="W719" s="4"/>
      <c r="X719" s="4"/>
      <c r="Y719" s="4"/>
      <c r="Z719" s="5"/>
      <c r="AA719" s="5"/>
      <c r="AB719" s="5"/>
      <c r="AC719" s="5"/>
      <c r="AD719" s="5"/>
      <c r="AE719" s="5"/>
      <c r="AF719" s="5"/>
      <c r="AG719" s="2"/>
      <c r="AH719" s="2"/>
      <c r="AI719" s="2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spans="1:48" ht="14.25" customHeight="1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3"/>
      <c r="R720" s="3"/>
      <c r="S720" s="3"/>
      <c r="T720" s="2"/>
      <c r="U720" s="2"/>
      <c r="V720" s="2"/>
      <c r="W720" s="4"/>
      <c r="X720" s="4"/>
      <c r="Y720" s="4"/>
      <c r="Z720" s="5"/>
      <c r="AA720" s="5"/>
      <c r="AB720" s="5"/>
      <c r="AC720" s="5"/>
      <c r="AD720" s="5"/>
      <c r="AE720" s="5"/>
      <c r="AF720" s="5"/>
      <c r="AG720" s="2"/>
      <c r="AH720" s="2"/>
      <c r="AI720" s="2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spans="1:48" ht="14.25" customHeight="1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3"/>
      <c r="R721" s="3"/>
      <c r="S721" s="3"/>
      <c r="T721" s="2"/>
      <c r="U721" s="2"/>
      <c r="V721" s="2"/>
      <c r="W721" s="4"/>
      <c r="X721" s="4"/>
      <c r="Y721" s="4"/>
      <c r="Z721" s="5"/>
      <c r="AA721" s="5"/>
      <c r="AB721" s="5"/>
      <c r="AC721" s="5"/>
      <c r="AD721" s="5"/>
      <c r="AE721" s="5"/>
      <c r="AF721" s="5"/>
      <c r="AG721" s="2"/>
      <c r="AH721" s="2"/>
      <c r="AI721" s="2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spans="1:48" ht="14.25" customHeight="1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3"/>
      <c r="R722" s="3"/>
      <c r="S722" s="3"/>
      <c r="T722" s="2"/>
      <c r="U722" s="2"/>
      <c r="V722" s="2"/>
      <c r="W722" s="4"/>
      <c r="X722" s="4"/>
      <c r="Y722" s="4"/>
      <c r="Z722" s="5"/>
      <c r="AA722" s="5"/>
      <c r="AB722" s="5"/>
      <c r="AC722" s="5"/>
      <c r="AD722" s="5"/>
      <c r="AE722" s="5"/>
      <c r="AF722" s="5"/>
      <c r="AG722" s="2"/>
      <c r="AH722" s="2"/>
      <c r="AI722" s="2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spans="1:48" ht="14.25" customHeight="1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3"/>
      <c r="R723" s="3"/>
      <c r="S723" s="3"/>
      <c r="T723" s="2"/>
      <c r="U723" s="2"/>
      <c r="V723" s="2"/>
      <c r="W723" s="4"/>
      <c r="X723" s="4"/>
      <c r="Y723" s="4"/>
      <c r="Z723" s="5"/>
      <c r="AA723" s="5"/>
      <c r="AB723" s="5"/>
      <c r="AC723" s="5"/>
      <c r="AD723" s="5"/>
      <c r="AE723" s="5"/>
      <c r="AF723" s="5"/>
      <c r="AG723" s="2"/>
      <c r="AH723" s="2"/>
      <c r="AI723" s="2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spans="1:48" ht="14.25" customHeight="1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3"/>
      <c r="R724" s="3"/>
      <c r="S724" s="3"/>
      <c r="T724" s="2"/>
      <c r="U724" s="2"/>
      <c r="V724" s="2"/>
      <c r="W724" s="4"/>
      <c r="X724" s="4"/>
      <c r="Y724" s="4"/>
      <c r="Z724" s="5"/>
      <c r="AA724" s="5"/>
      <c r="AB724" s="5"/>
      <c r="AC724" s="5"/>
      <c r="AD724" s="5"/>
      <c r="AE724" s="5"/>
      <c r="AF724" s="5"/>
      <c r="AG724" s="2"/>
      <c r="AH724" s="2"/>
      <c r="AI724" s="2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spans="1:48" ht="14.25" customHeight="1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3"/>
      <c r="R725" s="3"/>
      <c r="S725" s="3"/>
      <c r="T725" s="2"/>
      <c r="U725" s="2"/>
      <c r="V725" s="2"/>
      <c r="W725" s="4"/>
      <c r="X725" s="4"/>
      <c r="Y725" s="4"/>
      <c r="Z725" s="5"/>
      <c r="AA725" s="5"/>
      <c r="AB725" s="5"/>
      <c r="AC725" s="5"/>
      <c r="AD725" s="5"/>
      <c r="AE725" s="5"/>
      <c r="AF725" s="5"/>
      <c r="AG725" s="2"/>
      <c r="AH725" s="2"/>
      <c r="AI725" s="2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spans="1:48" ht="14.25" customHeight="1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3"/>
      <c r="R726" s="3"/>
      <c r="S726" s="3"/>
      <c r="T726" s="2"/>
      <c r="U726" s="2"/>
      <c r="V726" s="2"/>
      <c r="W726" s="4"/>
      <c r="X726" s="4"/>
      <c r="Y726" s="4"/>
      <c r="Z726" s="5"/>
      <c r="AA726" s="5"/>
      <c r="AB726" s="5"/>
      <c r="AC726" s="5"/>
      <c r="AD726" s="5"/>
      <c r="AE726" s="5"/>
      <c r="AF726" s="5"/>
      <c r="AG726" s="2"/>
      <c r="AH726" s="2"/>
      <c r="AI726" s="2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spans="1:48" ht="14.25" customHeight="1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3"/>
      <c r="R727" s="3"/>
      <c r="S727" s="3"/>
      <c r="T727" s="2"/>
      <c r="U727" s="2"/>
      <c r="V727" s="2"/>
      <c r="W727" s="4"/>
      <c r="X727" s="4"/>
      <c r="Y727" s="4"/>
      <c r="Z727" s="5"/>
      <c r="AA727" s="5"/>
      <c r="AB727" s="5"/>
      <c r="AC727" s="5"/>
      <c r="AD727" s="5"/>
      <c r="AE727" s="5"/>
      <c r="AF727" s="5"/>
      <c r="AG727" s="2"/>
      <c r="AH727" s="2"/>
      <c r="AI727" s="2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spans="1:48" ht="14.25" customHeight="1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3"/>
      <c r="R728" s="3"/>
      <c r="S728" s="3"/>
      <c r="T728" s="2"/>
      <c r="U728" s="2"/>
      <c r="V728" s="2"/>
      <c r="W728" s="4"/>
      <c r="X728" s="4"/>
      <c r="Y728" s="4"/>
      <c r="Z728" s="5"/>
      <c r="AA728" s="5"/>
      <c r="AB728" s="5"/>
      <c r="AC728" s="5"/>
      <c r="AD728" s="5"/>
      <c r="AE728" s="5"/>
      <c r="AF728" s="5"/>
      <c r="AG728" s="2"/>
      <c r="AH728" s="2"/>
      <c r="AI728" s="2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spans="1:48" ht="14.25" customHeight="1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3"/>
      <c r="R729" s="3"/>
      <c r="S729" s="3"/>
      <c r="T729" s="2"/>
      <c r="U729" s="2"/>
      <c r="V729" s="2"/>
      <c r="W729" s="4"/>
      <c r="X729" s="4"/>
      <c r="Y729" s="4"/>
      <c r="Z729" s="5"/>
      <c r="AA729" s="5"/>
      <c r="AB729" s="5"/>
      <c r="AC729" s="5"/>
      <c r="AD729" s="5"/>
      <c r="AE729" s="5"/>
      <c r="AF729" s="5"/>
      <c r="AG729" s="2"/>
      <c r="AH729" s="2"/>
      <c r="AI729" s="2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spans="1:48" ht="14.25" customHeight="1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3"/>
      <c r="R730" s="3"/>
      <c r="S730" s="3"/>
      <c r="T730" s="2"/>
      <c r="U730" s="2"/>
      <c r="V730" s="2"/>
      <c r="W730" s="4"/>
      <c r="X730" s="4"/>
      <c r="Y730" s="4"/>
      <c r="Z730" s="5"/>
      <c r="AA730" s="5"/>
      <c r="AB730" s="5"/>
      <c r="AC730" s="5"/>
      <c r="AD730" s="5"/>
      <c r="AE730" s="5"/>
      <c r="AF730" s="5"/>
      <c r="AG730" s="2"/>
      <c r="AH730" s="2"/>
      <c r="AI730" s="2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spans="1:48" ht="14.25" customHeight="1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3"/>
      <c r="R731" s="3"/>
      <c r="S731" s="3"/>
      <c r="T731" s="2"/>
      <c r="U731" s="2"/>
      <c r="V731" s="2"/>
      <c r="W731" s="4"/>
      <c r="X731" s="4"/>
      <c r="Y731" s="4"/>
      <c r="Z731" s="5"/>
      <c r="AA731" s="5"/>
      <c r="AB731" s="5"/>
      <c r="AC731" s="5"/>
      <c r="AD731" s="5"/>
      <c r="AE731" s="5"/>
      <c r="AF731" s="5"/>
      <c r="AG731" s="2"/>
      <c r="AH731" s="2"/>
      <c r="AI731" s="2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spans="1:48" ht="14.25" customHeight="1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3"/>
      <c r="R732" s="3"/>
      <c r="S732" s="3"/>
      <c r="T732" s="2"/>
      <c r="U732" s="2"/>
      <c r="V732" s="2"/>
      <c r="W732" s="4"/>
      <c r="X732" s="4"/>
      <c r="Y732" s="4"/>
      <c r="Z732" s="5"/>
      <c r="AA732" s="5"/>
      <c r="AB732" s="5"/>
      <c r="AC732" s="5"/>
      <c r="AD732" s="5"/>
      <c r="AE732" s="5"/>
      <c r="AF732" s="5"/>
      <c r="AG732" s="2"/>
      <c r="AH732" s="2"/>
      <c r="AI732" s="2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spans="1:48" ht="14.25" customHeight="1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3"/>
      <c r="R733" s="3"/>
      <c r="S733" s="3"/>
      <c r="T733" s="2"/>
      <c r="U733" s="2"/>
      <c r="V733" s="2"/>
      <c r="W733" s="4"/>
      <c r="X733" s="4"/>
      <c r="Y733" s="4"/>
      <c r="Z733" s="5"/>
      <c r="AA733" s="5"/>
      <c r="AB733" s="5"/>
      <c r="AC733" s="5"/>
      <c r="AD733" s="5"/>
      <c r="AE733" s="5"/>
      <c r="AF733" s="5"/>
      <c r="AG733" s="2"/>
      <c r="AH733" s="2"/>
      <c r="AI733" s="2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spans="1:48" ht="14.25" customHeight="1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3"/>
      <c r="R734" s="3"/>
      <c r="S734" s="3"/>
      <c r="T734" s="2"/>
      <c r="U734" s="2"/>
      <c r="V734" s="2"/>
      <c r="W734" s="4"/>
      <c r="X734" s="4"/>
      <c r="Y734" s="4"/>
      <c r="Z734" s="5"/>
      <c r="AA734" s="5"/>
      <c r="AB734" s="5"/>
      <c r="AC734" s="5"/>
      <c r="AD734" s="5"/>
      <c r="AE734" s="5"/>
      <c r="AF734" s="5"/>
      <c r="AG734" s="2"/>
      <c r="AH734" s="2"/>
      <c r="AI734" s="2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spans="1:48" ht="14.25" customHeight="1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3"/>
      <c r="R735" s="3"/>
      <c r="S735" s="3"/>
      <c r="T735" s="2"/>
      <c r="U735" s="2"/>
      <c r="V735" s="2"/>
      <c r="W735" s="4"/>
      <c r="X735" s="4"/>
      <c r="Y735" s="4"/>
      <c r="Z735" s="5"/>
      <c r="AA735" s="5"/>
      <c r="AB735" s="5"/>
      <c r="AC735" s="5"/>
      <c r="AD735" s="5"/>
      <c r="AE735" s="5"/>
      <c r="AF735" s="5"/>
      <c r="AG735" s="2"/>
      <c r="AH735" s="2"/>
      <c r="AI735" s="2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spans="1:48" ht="14.25" customHeight="1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3"/>
      <c r="R736" s="3"/>
      <c r="S736" s="3"/>
      <c r="T736" s="2"/>
      <c r="U736" s="2"/>
      <c r="V736" s="2"/>
      <c r="W736" s="4"/>
      <c r="X736" s="4"/>
      <c r="Y736" s="4"/>
      <c r="Z736" s="5"/>
      <c r="AA736" s="5"/>
      <c r="AB736" s="5"/>
      <c r="AC736" s="5"/>
      <c r="AD736" s="5"/>
      <c r="AE736" s="5"/>
      <c r="AF736" s="5"/>
      <c r="AG736" s="2"/>
      <c r="AH736" s="2"/>
      <c r="AI736" s="2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spans="1:48" ht="14.25" customHeight="1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3"/>
      <c r="R737" s="3"/>
      <c r="S737" s="3"/>
      <c r="T737" s="2"/>
      <c r="U737" s="2"/>
      <c r="V737" s="2"/>
      <c r="W737" s="4"/>
      <c r="X737" s="4"/>
      <c r="Y737" s="4"/>
      <c r="Z737" s="5"/>
      <c r="AA737" s="5"/>
      <c r="AB737" s="5"/>
      <c r="AC737" s="5"/>
      <c r="AD737" s="5"/>
      <c r="AE737" s="5"/>
      <c r="AF737" s="5"/>
      <c r="AG737" s="2"/>
      <c r="AH737" s="2"/>
      <c r="AI737" s="2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spans="1:48" ht="14.25" customHeight="1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3"/>
      <c r="R738" s="3"/>
      <c r="S738" s="3"/>
      <c r="T738" s="2"/>
      <c r="U738" s="2"/>
      <c r="V738" s="2"/>
      <c r="W738" s="4"/>
      <c r="X738" s="4"/>
      <c r="Y738" s="4"/>
      <c r="Z738" s="5"/>
      <c r="AA738" s="5"/>
      <c r="AB738" s="5"/>
      <c r="AC738" s="5"/>
      <c r="AD738" s="5"/>
      <c r="AE738" s="5"/>
      <c r="AF738" s="5"/>
      <c r="AG738" s="2"/>
      <c r="AH738" s="2"/>
      <c r="AI738" s="2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spans="1:48" ht="14.25" customHeight="1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3"/>
      <c r="R739" s="3"/>
      <c r="S739" s="3"/>
      <c r="T739" s="2"/>
      <c r="U739" s="2"/>
      <c r="V739" s="2"/>
      <c r="W739" s="4"/>
      <c r="X739" s="4"/>
      <c r="Y739" s="4"/>
      <c r="Z739" s="5"/>
      <c r="AA739" s="5"/>
      <c r="AB739" s="5"/>
      <c r="AC739" s="5"/>
      <c r="AD739" s="5"/>
      <c r="AE739" s="5"/>
      <c r="AF739" s="5"/>
      <c r="AG739" s="2"/>
      <c r="AH739" s="2"/>
      <c r="AI739" s="2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spans="1:48" ht="14.25" customHeight="1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3"/>
      <c r="R740" s="3"/>
      <c r="S740" s="3"/>
      <c r="T740" s="2"/>
      <c r="U740" s="2"/>
      <c r="V740" s="2"/>
      <c r="W740" s="4"/>
      <c r="X740" s="4"/>
      <c r="Y740" s="4"/>
      <c r="Z740" s="5"/>
      <c r="AA740" s="5"/>
      <c r="AB740" s="5"/>
      <c r="AC740" s="5"/>
      <c r="AD740" s="5"/>
      <c r="AE740" s="5"/>
      <c r="AF740" s="5"/>
      <c r="AG740" s="2"/>
      <c r="AH740" s="2"/>
      <c r="AI740" s="2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spans="1:48" ht="14.25" customHeight="1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3"/>
      <c r="R741" s="3"/>
      <c r="S741" s="3"/>
      <c r="T741" s="2"/>
      <c r="U741" s="2"/>
      <c r="V741" s="2"/>
      <c r="W741" s="4"/>
      <c r="X741" s="4"/>
      <c r="Y741" s="4"/>
      <c r="Z741" s="5"/>
      <c r="AA741" s="5"/>
      <c r="AB741" s="5"/>
      <c r="AC741" s="5"/>
      <c r="AD741" s="5"/>
      <c r="AE741" s="5"/>
      <c r="AF741" s="5"/>
      <c r="AG741" s="2"/>
      <c r="AH741" s="2"/>
      <c r="AI741" s="2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spans="1:48" ht="14.25" customHeight="1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3"/>
      <c r="R742" s="3"/>
      <c r="S742" s="3"/>
      <c r="T742" s="2"/>
      <c r="U742" s="2"/>
      <c r="V742" s="2"/>
      <c r="W742" s="4"/>
      <c r="X742" s="4"/>
      <c r="Y742" s="4"/>
      <c r="Z742" s="5"/>
      <c r="AA742" s="5"/>
      <c r="AB742" s="5"/>
      <c r="AC742" s="5"/>
      <c r="AD742" s="5"/>
      <c r="AE742" s="5"/>
      <c r="AF742" s="5"/>
      <c r="AG742" s="2"/>
      <c r="AH742" s="2"/>
      <c r="AI742" s="2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spans="1:48" ht="14.25" customHeight="1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3"/>
      <c r="R743" s="3"/>
      <c r="S743" s="3"/>
      <c r="T743" s="2"/>
      <c r="U743" s="2"/>
      <c r="V743" s="2"/>
      <c r="W743" s="4"/>
      <c r="X743" s="4"/>
      <c r="Y743" s="4"/>
      <c r="Z743" s="5"/>
      <c r="AA743" s="5"/>
      <c r="AB743" s="5"/>
      <c r="AC743" s="5"/>
      <c r="AD743" s="5"/>
      <c r="AE743" s="5"/>
      <c r="AF743" s="5"/>
      <c r="AG743" s="2"/>
      <c r="AH743" s="2"/>
      <c r="AI743" s="2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spans="1:48" ht="14.25" customHeight="1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3"/>
      <c r="R744" s="3"/>
      <c r="S744" s="3"/>
      <c r="T744" s="2"/>
      <c r="U744" s="2"/>
      <c r="V744" s="2"/>
      <c r="W744" s="4"/>
      <c r="X744" s="4"/>
      <c r="Y744" s="4"/>
      <c r="Z744" s="5"/>
      <c r="AA744" s="5"/>
      <c r="AB744" s="5"/>
      <c r="AC744" s="5"/>
      <c r="AD744" s="5"/>
      <c r="AE744" s="5"/>
      <c r="AF744" s="5"/>
      <c r="AG744" s="2"/>
      <c r="AH744" s="2"/>
      <c r="AI744" s="2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spans="1:48" ht="14.25" customHeight="1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3"/>
      <c r="R745" s="3"/>
      <c r="S745" s="3"/>
      <c r="T745" s="2"/>
      <c r="U745" s="2"/>
      <c r="V745" s="2"/>
      <c r="W745" s="4"/>
      <c r="X745" s="4"/>
      <c r="Y745" s="4"/>
      <c r="Z745" s="5"/>
      <c r="AA745" s="5"/>
      <c r="AB745" s="5"/>
      <c r="AC745" s="5"/>
      <c r="AD745" s="5"/>
      <c r="AE745" s="5"/>
      <c r="AF745" s="5"/>
      <c r="AG745" s="2"/>
      <c r="AH745" s="2"/>
      <c r="AI745" s="2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spans="1:48" ht="14.25" customHeight="1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3"/>
      <c r="R746" s="3"/>
      <c r="S746" s="3"/>
      <c r="T746" s="2"/>
      <c r="U746" s="2"/>
      <c r="V746" s="2"/>
      <c r="W746" s="4"/>
      <c r="X746" s="4"/>
      <c r="Y746" s="4"/>
      <c r="Z746" s="5"/>
      <c r="AA746" s="5"/>
      <c r="AB746" s="5"/>
      <c r="AC746" s="5"/>
      <c r="AD746" s="5"/>
      <c r="AE746" s="5"/>
      <c r="AF746" s="5"/>
      <c r="AG746" s="2"/>
      <c r="AH746" s="2"/>
      <c r="AI746" s="2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spans="1:48" ht="14.25" customHeight="1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3"/>
      <c r="R747" s="3"/>
      <c r="S747" s="3"/>
      <c r="T747" s="2"/>
      <c r="U747" s="2"/>
      <c r="V747" s="2"/>
      <c r="W747" s="4"/>
      <c r="X747" s="4"/>
      <c r="Y747" s="4"/>
      <c r="Z747" s="5"/>
      <c r="AA747" s="5"/>
      <c r="AB747" s="5"/>
      <c r="AC747" s="5"/>
      <c r="AD747" s="5"/>
      <c r="AE747" s="5"/>
      <c r="AF747" s="5"/>
      <c r="AG747" s="2"/>
      <c r="AH747" s="2"/>
      <c r="AI747" s="2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spans="1:48" ht="14.25" customHeight="1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3"/>
      <c r="R748" s="3"/>
      <c r="S748" s="3"/>
      <c r="T748" s="2"/>
      <c r="U748" s="2"/>
      <c r="V748" s="2"/>
      <c r="W748" s="4"/>
      <c r="X748" s="4"/>
      <c r="Y748" s="4"/>
      <c r="Z748" s="5"/>
      <c r="AA748" s="5"/>
      <c r="AB748" s="5"/>
      <c r="AC748" s="5"/>
      <c r="AD748" s="5"/>
      <c r="AE748" s="5"/>
      <c r="AF748" s="5"/>
      <c r="AG748" s="2"/>
      <c r="AH748" s="2"/>
      <c r="AI748" s="2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spans="1:48" ht="14.25" customHeight="1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3"/>
      <c r="R749" s="3"/>
      <c r="S749" s="3"/>
      <c r="T749" s="2"/>
      <c r="U749" s="2"/>
      <c r="V749" s="2"/>
      <c r="W749" s="4"/>
      <c r="X749" s="4"/>
      <c r="Y749" s="4"/>
      <c r="Z749" s="5"/>
      <c r="AA749" s="5"/>
      <c r="AB749" s="5"/>
      <c r="AC749" s="5"/>
      <c r="AD749" s="5"/>
      <c r="AE749" s="5"/>
      <c r="AF749" s="5"/>
      <c r="AG749" s="2"/>
      <c r="AH749" s="2"/>
      <c r="AI749" s="2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spans="1:48" ht="14.25" customHeight="1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3"/>
      <c r="R750" s="3"/>
      <c r="S750" s="3"/>
      <c r="T750" s="2"/>
      <c r="U750" s="2"/>
      <c r="V750" s="2"/>
      <c r="W750" s="4"/>
      <c r="X750" s="4"/>
      <c r="Y750" s="4"/>
      <c r="Z750" s="5"/>
      <c r="AA750" s="5"/>
      <c r="AB750" s="5"/>
      <c r="AC750" s="5"/>
      <c r="AD750" s="5"/>
      <c r="AE750" s="5"/>
      <c r="AF750" s="5"/>
      <c r="AG750" s="2"/>
      <c r="AH750" s="2"/>
      <c r="AI750" s="2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spans="1:48" ht="14.25" customHeight="1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3"/>
      <c r="R751" s="3"/>
      <c r="S751" s="3"/>
      <c r="T751" s="2"/>
      <c r="U751" s="2"/>
      <c r="V751" s="2"/>
      <c r="W751" s="4"/>
      <c r="X751" s="4"/>
      <c r="Y751" s="4"/>
      <c r="Z751" s="5"/>
      <c r="AA751" s="5"/>
      <c r="AB751" s="5"/>
      <c r="AC751" s="5"/>
      <c r="AD751" s="5"/>
      <c r="AE751" s="5"/>
      <c r="AF751" s="5"/>
      <c r="AG751" s="2"/>
      <c r="AH751" s="2"/>
      <c r="AI751" s="2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spans="1:48" ht="14.25" customHeight="1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3"/>
      <c r="R752" s="3"/>
      <c r="S752" s="3"/>
      <c r="T752" s="2"/>
      <c r="U752" s="2"/>
      <c r="V752" s="2"/>
      <c r="W752" s="4"/>
      <c r="X752" s="4"/>
      <c r="Y752" s="4"/>
      <c r="Z752" s="5"/>
      <c r="AA752" s="5"/>
      <c r="AB752" s="5"/>
      <c r="AC752" s="5"/>
      <c r="AD752" s="5"/>
      <c r="AE752" s="5"/>
      <c r="AF752" s="5"/>
      <c r="AG752" s="2"/>
      <c r="AH752" s="2"/>
      <c r="AI752" s="2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spans="1:48" ht="14.25" customHeight="1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3"/>
      <c r="R753" s="3"/>
      <c r="S753" s="3"/>
      <c r="T753" s="2"/>
      <c r="U753" s="2"/>
      <c r="V753" s="2"/>
      <c r="W753" s="4"/>
      <c r="X753" s="4"/>
      <c r="Y753" s="4"/>
      <c r="Z753" s="5"/>
      <c r="AA753" s="5"/>
      <c r="AB753" s="5"/>
      <c r="AC753" s="5"/>
      <c r="AD753" s="5"/>
      <c r="AE753" s="5"/>
      <c r="AF753" s="5"/>
      <c r="AG753" s="2"/>
      <c r="AH753" s="2"/>
      <c r="AI753" s="2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spans="1:48" ht="14.25" customHeight="1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3"/>
      <c r="R754" s="3"/>
      <c r="S754" s="3"/>
      <c r="T754" s="2"/>
      <c r="U754" s="2"/>
      <c r="V754" s="2"/>
      <c r="W754" s="4"/>
      <c r="X754" s="4"/>
      <c r="Y754" s="4"/>
      <c r="Z754" s="5"/>
      <c r="AA754" s="5"/>
      <c r="AB754" s="5"/>
      <c r="AC754" s="5"/>
      <c r="AD754" s="5"/>
      <c r="AE754" s="5"/>
      <c r="AF754" s="5"/>
      <c r="AG754" s="2"/>
      <c r="AH754" s="2"/>
      <c r="AI754" s="2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spans="1:48" ht="14.25" customHeight="1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3"/>
      <c r="R755" s="3"/>
      <c r="S755" s="3"/>
      <c r="T755" s="2"/>
      <c r="U755" s="2"/>
      <c r="V755" s="2"/>
      <c r="W755" s="4"/>
      <c r="X755" s="4"/>
      <c r="Y755" s="4"/>
      <c r="Z755" s="5"/>
      <c r="AA755" s="5"/>
      <c r="AB755" s="5"/>
      <c r="AC755" s="5"/>
      <c r="AD755" s="5"/>
      <c r="AE755" s="5"/>
      <c r="AF755" s="5"/>
      <c r="AG755" s="2"/>
      <c r="AH755" s="2"/>
      <c r="AI755" s="2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spans="1:48" ht="14.25" customHeight="1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3"/>
      <c r="R756" s="3"/>
      <c r="S756" s="3"/>
      <c r="T756" s="2"/>
      <c r="U756" s="2"/>
      <c r="V756" s="2"/>
      <c r="W756" s="4"/>
      <c r="X756" s="4"/>
      <c r="Y756" s="4"/>
      <c r="Z756" s="5"/>
      <c r="AA756" s="5"/>
      <c r="AB756" s="5"/>
      <c r="AC756" s="5"/>
      <c r="AD756" s="5"/>
      <c r="AE756" s="5"/>
      <c r="AF756" s="5"/>
      <c r="AG756" s="2"/>
      <c r="AH756" s="2"/>
      <c r="AI756" s="2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spans="1:48" ht="14.25" customHeight="1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3"/>
      <c r="R757" s="3"/>
      <c r="S757" s="3"/>
      <c r="T757" s="2"/>
      <c r="U757" s="2"/>
      <c r="V757" s="2"/>
      <c r="W757" s="4"/>
      <c r="X757" s="4"/>
      <c r="Y757" s="4"/>
      <c r="Z757" s="5"/>
      <c r="AA757" s="5"/>
      <c r="AB757" s="5"/>
      <c r="AC757" s="5"/>
      <c r="AD757" s="5"/>
      <c r="AE757" s="5"/>
      <c r="AF757" s="5"/>
      <c r="AG757" s="2"/>
      <c r="AH757" s="2"/>
      <c r="AI757" s="2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spans="1:48" ht="14.25" customHeight="1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3"/>
      <c r="R758" s="3"/>
      <c r="S758" s="3"/>
      <c r="T758" s="2"/>
      <c r="U758" s="2"/>
      <c r="V758" s="2"/>
      <c r="W758" s="4"/>
      <c r="X758" s="4"/>
      <c r="Y758" s="4"/>
      <c r="Z758" s="5"/>
      <c r="AA758" s="5"/>
      <c r="AB758" s="5"/>
      <c r="AC758" s="5"/>
      <c r="AD758" s="5"/>
      <c r="AE758" s="5"/>
      <c r="AF758" s="5"/>
      <c r="AG758" s="2"/>
      <c r="AH758" s="2"/>
      <c r="AI758" s="2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spans="1:48" ht="14.25" customHeight="1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3"/>
      <c r="R759" s="3"/>
      <c r="S759" s="3"/>
      <c r="T759" s="2"/>
      <c r="U759" s="2"/>
      <c r="V759" s="2"/>
      <c r="W759" s="4"/>
      <c r="X759" s="4"/>
      <c r="Y759" s="4"/>
      <c r="Z759" s="5"/>
      <c r="AA759" s="5"/>
      <c r="AB759" s="5"/>
      <c r="AC759" s="5"/>
      <c r="AD759" s="5"/>
      <c r="AE759" s="5"/>
      <c r="AF759" s="5"/>
      <c r="AG759" s="2"/>
      <c r="AH759" s="2"/>
      <c r="AI759" s="2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spans="1:48" ht="14.25" customHeight="1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3"/>
      <c r="R760" s="3"/>
      <c r="S760" s="3"/>
      <c r="T760" s="2"/>
      <c r="U760" s="2"/>
      <c r="V760" s="2"/>
      <c r="W760" s="4"/>
      <c r="X760" s="4"/>
      <c r="Y760" s="4"/>
      <c r="Z760" s="5"/>
      <c r="AA760" s="5"/>
      <c r="AB760" s="5"/>
      <c r="AC760" s="5"/>
      <c r="AD760" s="5"/>
      <c r="AE760" s="5"/>
      <c r="AF760" s="5"/>
      <c r="AG760" s="2"/>
      <c r="AH760" s="2"/>
      <c r="AI760" s="2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spans="1:48" ht="14.25" customHeight="1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3"/>
      <c r="R761" s="3"/>
      <c r="S761" s="3"/>
      <c r="T761" s="2"/>
      <c r="U761" s="2"/>
      <c r="V761" s="2"/>
      <c r="W761" s="4"/>
      <c r="X761" s="4"/>
      <c r="Y761" s="4"/>
      <c r="Z761" s="5"/>
      <c r="AA761" s="5"/>
      <c r="AB761" s="5"/>
      <c r="AC761" s="5"/>
      <c r="AD761" s="5"/>
      <c r="AE761" s="5"/>
      <c r="AF761" s="5"/>
      <c r="AG761" s="2"/>
      <c r="AH761" s="2"/>
      <c r="AI761" s="2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spans="1:48" ht="14.25" customHeight="1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3"/>
      <c r="R762" s="3"/>
      <c r="S762" s="3"/>
      <c r="T762" s="2"/>
      <c r="U762" s="2"/>
      <c r="V762" s="2"/>
      <c r="W762" s="4"/>
      <c r="X762" s="4"/>
      <c r="Y762" s="4"/>
      <c r="Z762" s="5"/>
      <c r="AA762" s="5"/>
      <c r="AB762" s="5"/>
      <c r="AC762" s="5"/>
      <c r="AD762" s="5"/>
      <c r="AE762" s="5"/>
      <c r="AF762" s="5"/>
      <c r="AG762" s="2"/>
      <c r="AH762" s="2"/>
      <c r="AI762" s="2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spans="1:48" ht="14.25" customHeight="1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3"/>
      <c r="R763" s="3"/>
      <c r="S763" s="3"/>
      <c r="T763" s="2"/>
      <c r="U763" s="2"/>
      <c r="V763" s="2"/>
      <c r="W763" s="4"/>
      <c r="X763" s="4"/>
      <c r="Y763" s="4"/>
      <c r="Z763" s="5"/>
      <c r="AA763" s="5"/>
      <c r="AB763" s="5"/>
      <c r="AC763" s="5"/>
      <c r="AD763" s="5"/>
      <c r="AE763" s="5"/>
      <c r="AF763" s="5"/>
      <c r="AG763" s="2"/>
      <c r="AH763" s="2"/>
      <c r="AI763" s="2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spans="1:48" ht="14.25" customHeight="1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3"/>
      <c r="R764" s="3"/>
      <c r="S764" s="3"/>
      <c r="T764" s="2"/>
      <c r="U764" s="2"/>
      <c r="V764" s="2"/>
      <c r="W764" s="4"/>
      <c r="X764" s="4"/>
      <c r="Y764" s="4"/>
      <c r="Z764" s="5"/>
      <c r="AA764" s="5"/>
      <c r="AB764" s="5"/>
      <c r="AC764" s="5"/>
      <c r="AD764" s="5"/>
      <c r="AE764" s="5"/>
      <c r="AF764" s="5"/>
      <c r="AG764" s="2"/>
      <c r="AH764" s="2"/>
      <c r="AI764" s="2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spans="1:48" ht="14.25" customHeight="1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3"/>
      <c r="R765" s="3"/>
      <c r="S765" s="3"/>
      <c r="T765" s="2"/>
      <c r="U765" s="2"/>
      <c r="V765" s="2"/>
      <c r="W765" s="4"/>
      <c r="X765" s="4"/>
      <c r="Y765" s="4"/>
      <c r="Z765" s="5"/>
      <c r="AA765" s="5"/>
      <c r="AB765" s="5"/>
      <c r="AC765" s="5"/>
      <c r="AD765" s="5"/>
      <c r="AE765" s="5"/>
      <c r="AF765" s="5"/>
      <c r="AG765" s="2"/>
      <c r="AH765" s="2"/>
      <c r="AI765" s="2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spans="1:48" ht="14.25" customHeight="1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3"/>
      <c r="R766" s="3"/>
      <c r="S766" s="3"/>
      <c r="T766" s="2"/>
      <c r="U766" s="2"/>
      <c r="V766" s="2"/>
      <c r="W766" s="4"/>
      <c r="X766" s="4"/>
      <c r="Y766" s="4"/>
      <c r="Z766" s="5"/>
      <c r="AA766" s="5"/>
      <c r="AB766" s="5"/>
      <c r="AC766" s="5"/>
      <c r="AD766" s="5"/>
      <c r="AE766" s="5"/>
      <c r="AF766" s="5"/>
      <c r="AG766" s="2"/>
      <c r="AH766" s="2"/>
      <c r="AI766" s="2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spans="1:48" ht="14.25" customHeight="1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5"/>
      <c r="Q767" s="3"/>
      <c r="R767" s="3"/>
      <c r="S767" s="3"/>
      <c r="T767" s="2"/>
      <c r="U767" s="2"/>
      <c r="V767" s="2"/>
      <c r="W767" s="4"/>
      <c r="X767" s="4"/>
      <c r="Y767" s="4"/>
      <c r="Z767" s="5"/>
      <c r="AA767" s="5"/>
      <c r="AB767" s="5"/>
      <c r="AC767" s="5"/>
      <c r="AD767" s="5"/>
      <c r="AE767" s="5"/>
      <c r="AF767" s="5"/>
      <c r="AG767" s="2"/>
      <c r="AH767" s="2"/>
      <c r="AI767" s="2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spans="1:4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spans="1:48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spans="1:48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spans="1:48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spans="1:48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spans="1:48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spans="1:48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spans="1:48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spans="1:48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spans="1:48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spans="1:4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spans="1:48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spans="1:48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spans="1:48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spans="1:48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spans="1:48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spans="1:48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spans="1:48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spans="1:48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spans="1:48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spans="1:4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spans="1:48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spans="1:48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spans="1:48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spans="1:48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spans="1:48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spans="1:48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spans="1:48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spans="1:48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spans="1:48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spans="1:4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spans="1:48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spans="1:48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spans="1:48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spans="1:48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spans="1:48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spans="1:48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spans="1:48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spans="1:48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spans="1:48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spans="1:4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spans="1:48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spans="1:48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</sheetData>
  <mergeCells count="10">
    <mergeCell ref="B111:C111"/>
    <mergeCell ref="D111:E111"/>
    <mergeCell ref="F111:G111"/>
    <mergeCell ref="AF3:AT3"/>
    <mergeCell ref="B2:C2"/>
    <mergeCell ref="B3:P3"/>
    <mergeCell ref="B64:H64"/>
    <mergeCell ref="I64:O64"/>
    <mergeCell ref="P64:V64"/>
    <mergeCell ref="Q3:AE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77EC-210D-43DD-AB3F-45623DCF78F6}">
  <dimension ref="A1:AQ16"/>
  <sheetViews>
    <sheetView zoomScale="85" zoomScaleNormal="85" workbookViewId="0">
      <selection activeCell="C8" sqref="C8"/>
    </sheetView>
  </sheetViews>
  <sheetFormatPr baseColWidth="10" defaultRowHeight="14.5"/>
  <sheetData>
    <row r="1" spans="1:43">
      <c r="A1" t="s">
        <v>100</v>
      </c>
      <c r="B1" t="s">
        <v>85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12</v>
      </c>
      <c r="J1" t="s">
        <v>13</v>
      </c>
      <c r="K1" t="s">
        <v>15</v>
      </c>
      <c r="L1" t="s">
        <v>16</v>
      </c>
      <c r="M1" t="s">
        <v>19</v>
      </c>
      <c r="N1" t="s">
        <v>20</v>
      </c>
      <c r="O1" t="s">
        <v>21</v>
      </c>
      <c r="P1" t="s">
        <v>23</v>
      </c>
      <c r="Q1" t="s">
        <v>24</v>
      </c>
      <c r="R1" t="s">
        <v>27</v>
      </c>
      <c r="S1" t="s">
        <v>28</v>
      </c>
      <c r="T1" t="s">
        <v>29</v>
      </c>
      <c r="U1" t="s">
        <v>31</v>
      </c>
      <c r="V1" t="s">
        <v>32</v>
      </c>
      <c r="W1" t="s">
        <v>33</v>
      </c>
      <c r="X1" t="s">
        <v>34</v>
      </c>
      <c r="Y1" t="s">
        <v>54</v>
      </c>
      <c r="Z1" t="s">
        <v>35</v>
      </c>
      <c r="AA1" t="s">
        <v>36</v>
      </c>
      <c r="AB1" t="s">
        <v>37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</row>
    <row r="2" spans="1:43">
      <c r="A2">
        <v>1</v>
      </c>
      <c r="B2">
        <v>0.6817213463996592</v>
      </c>
      <c r="C2">
        <v>3.1849169152109078</v>
      </c>
      <c r="D2">
        <v>0.15977844056242013</v>
      </c>
      <c r="E2">
        <v>4.9424797613975286</v>
      </c>
      <c r="F2">
        <v>19.652748189177675</v>
      </c>
      <c r="G2">
        <v>0.52194290583723901</v>
      </c>
      <c r="H2">
        <v>1.8960374946740521</v>
      </c>
      <c r="I2">
        <v>0.2130379207498935</v>
      </c>
      <c r="J2">
        <v>0.1704303365999148</v>
      </c>
      <c r="K2">
        <v>1.0012782275244994</v>
      </c>
      <c r="L2">
        <v>1.246271836386877</v>
      </c>
      <c r="M2">
        <v>9.0541116318704731</v>
      </c>
      <c r="N2">
        <v>25.532594801874733</v>
      </c>
      <c r="O2">
        <v>2.7801448657861099</v>
      </c>
      <c r="P2">
        <v>16.457179377929272</v>
      </c>
      <c r="Q2">
        <v>0.15977844056242013</v>
      </c>
      <c r="R2">
        <v>0.60715807413719636</v>
      </c>
      <c r="S2">
        <v>0</v>
      </c>
      <c r="T2">
        <v>0.13847464848743077</v>
      </c>
      <c r="U2">
        <v>0.2130379207498935</v>
      </c>
      <c r="V2">
        <v>0.36216446527481894</v>
      </c>
      <c r="W2">
        <v>0.426075841499787</v>
      </c>
      <c r="X2">
        <v>0</v>
      </c>
      <c r="Y2">
        <v>0</v>
      </c>
      <c r="Z2">
        <v>6.7426501917341293</v>
      </c>
      <c r="AA2">
        <v>0.2449936088623775</v>
      </c>
      <c r="AB2">
        <v>0</v>
      </c>
      <c r="AC2">
        <v>0.95867064337452068</v>
      </c>
      <c r="AD2">
        <v>0.30890498508734554</v>
      </c>
      <c r="AE2">
        <v>0.92671495526203673</v>
      </c>
      <c r="AF2">
        <v>0.1278227524499361</v>
      </c>
      <c r="AG2">
        <v>0.2130379207498935</v>
      </c>
      <c r="AH2">
        <v>0.26629740093736687</v>
      </c>
      <c r="AI2">
        <v>0.59650617809970186</v>
      </c>
      <c r="AJ2">
        <v>33.052833404345982</v>
      </c>
      <c r="AK2">
        <v>31.540264167021732</v>
      </c>
      <c r="AL2">
        <v>27.407328504473796</v>
      </c>
      <c r="AM2">
        <v>25.415423945462294</v>
      </c>
      <c r="AN2">
        <v>1.9919045590115041</v>
      </c>
      <c r="AO2">
        <v>8.7984661269706006</v>
      </c>
      <c r="AP2">
        <v>1.3847464848743078</v>
      </c>
      <c r="AQ2">
        <v>12.759358288770054</v>
      </c>
    </row>
    <row r="3" spans="1:43">
      <c r="A3">
        <v>1</v>
      </c>
      <c r="B3">
        <v>0.51298493106764997</v>
      </c>
      <c r="C3">
        <v>2.9817249118307152</v>
      </c>
      <c r="D3">
        <v>0.12824623276691249</v>
      </c>
      <c r="E3">
        <v>5.5359623811050556</v>
      </c>
      <c r="F3">
        <v>17.719354493961738</v>
      </c>
      <c r="G3">
        <v>0.58779523351501561</v>
      </c>
      <c r="H3">
        <v>1.6244522817142248</v>
      </c>
      <c r="I3">
        <v>0.22443090734209684</v>
      </c>
      <c r="J3">
        <v>0.16030779095864059</v>
      </c>
      <c r="K3">
        <v>0.94047237362402492</v>
      </c>
      <c r="L3">
        <v>1.0473442342631185</v>
      </c>
      <c r="M3">
        <v>9.5543443411349802</v>
      </c>
      <c r="N3">
        <v>25.862990274660685</v>
      </c>
      <c r="O3">
        <v>2.6397349577856155</v>
      </c>
      <c r="P3">
        <v>18.136154750454207</v>
      </c>
      <c r="Q3">
        <v>0.16030779095864059</v>
      </c>
      <c r="R3">
        <v>0.75879021053756557</v>
      </c>
      <c r="S3">
        <v>0</v>
      </c>
      <c r="T3">
        <v>0.11755904670300311</v>
      </c>
      <c r="U3">
        <v>0.22443090734209684</v>
      </c>
      <c r="V3">
        <v>0.39542588436464682</v>
      </c>
      <c r="W3">
        <v>0.42748744255637494</v>
      </c>
      <c r="X3">
        <v>0</v>
      </c>
      <c r="Y3">
        <v>0</v>
      </c>
      <c r="Z3">
        <v>6.4016244522817143</v>
      </c>
      <c r="AA3">
        <v>0.23511809340600623</v>
      </c>
      <c r="AB3">
        <v>0</v>
      </c>
      <c r="AC3">
        <v>1.0045954900074812</v>
      </c>
      <c r="AD3">
        <v>0.27786683766164372</v>
      </c>
      <c r="AE3">
        <v>0.96184674575184359</v>
      </c>
      <c r="AF3">
        <v>0.13893341883082186</v>
      </c>
      <c r="AG3">
        <v>0.22443090734209684</v>
      </c>
      <c r="AH3">
        <v>0.27786683766164372</v>
      </c>
      <c r="AI3">
        <v>0.41680025649246555</v>
      </c>
      <c r="AJ3">
        <v>31.249332050871004</v>
      </c>
      <c r="AK3">
        <v>31.505824516404836</v>
      </c>
      <c r="AL3">
        <v>28.983648605322223</v>
      </c>
      <c r="AM3">
        <v>26.803462648284711</v>
      </c>
      <c r="AN3">
        <v>2.1801859570375122</v>
      </c>
      <c r="AO3">
        <v>8.5070001068718621</v>
      </c>
      <c r="AP3">
        <v>1.4213957464999467</v>
      </c>
      <c r="AQ3">
        <v>12.294117647058824</v>
      </c>
    </row>
    <row r="4" spans="1:43">
      <c r="A4">
        <v>1</v>
      </c>
      <c r="B4">
        <v>0.47475183426845052</v>
      </c>
      <c r="C4">
        <v>2.1363832542080274</v>
      </c>
      <c r="D4">
        <v>0.14026758739749676</v>
      </c>
      <c r="E4">
        <v>5.8912386706948636</v>
      </c>
      <c r="F4">
        <v>15.332326283987914</v>
      </c>
      <c r="G4">
        <v>0.44238239102287436</v>
      </c>
      <c r="H4">
        <v>1.4889943892965041</v>
      </c>
      <c r="I4">
        <v>0.19421665947345704</v>
      </c>
      <c r="J4">
        <v>0.17263703064307293</v>
      </c>
      <c r="K4">
        <v>1.0142425550280534</v>
      </c>
      <c r="L4">
        <v>1.0681916271040137</v>
      </c>
      <c r="M4">
        <v>10.725075528700906</v>
      </c>
      <c r="N4">
        <v>20.576176089771256</v>
      </c>
      <c r="O4">
        <v>3.7224859732412598</v>
      </c>
      <c r="P4">
        <v>22.129909365558913</v>
      </c>
      <c r="Q4">
        <v>0.21579628830384115</v>
      </c>
      <c r="R4">
        <v>1.1221406991799741</v>
      </c>
      <c r="S4">
        <v>0</v>
      </c>
      <c r="T4">
        <v>0.23737591713422526</v>
      </c>
      <c r="U4">
        <v>0.15105740181268884</v>
      </c>
      <c r="V4">
        <v>0.30211480362537768</v>
      </c>
      <c r="W4">
        <v>0.50712127751402669</v>
      </c>
      <c r="X4">
        <v>0</v>
      </c>
      <c r="Y4">
        <v>0</v>
      </c>
      <c r="Z4">
        <v>7.4341821320673276</v>
      </c>
      <c r="AA4">
        <v>0.28053517479499351</v>
      </c>
      <c r="AB4">
        <v>0.14026758739749676</v>
      </c>
      <c r="AC4">
        <v>1.1976694000863186</v>
      </c>
      <c r="AD4">
        <v>0.2589555459646094</v>
      </c>
      <c r="AE4">
        <v>1.1005610703495898</v>
      </c>
      <c r="AF4">
        <v>9.7108329736728519E-2</v>
      </c>
      <c r="AG4">
        <v>0.19421665947345704</v>
      </c>
      <c r="AH4">
        <v>0.26974536037980146</v>
      </c>
      <c r="AI4">
        <v>0.84160552438498071</v>
      </c>
      <c r="AJ4">
        <v>29.337505394907204</v>
      </c>
      <c r="AK4">
        <v>26.963746223564954</v>
      </c>
      <c r="AL4">
        <v>34.743202416918429</v>
      </c>
      <c r="AM4">
        <v>32.045748813120419</v>
      </c>
      <c r="AN4">
        <v>2.6974536037980146</v>
      </c>
      <c r="AO4">
        <v>9.7000431592576604</v>
      </c>
      <c r="AP4">
        <v>1.5753129046180405</v>
      </c>
      <c r="AQ4">
        <v>11.880000000000003</v>
      </c>
    </row>
    <row r="5" spans="1:43">
      <c r="A5">
        <v>1</v>
      </c>
      <c r="B5">
        <v>0.22653721682847897</v>
      </c>
      <c r="C5">
        <v>1.1758360302049624</v>
      </c>
      <c r="D5">
        <v>0.12</v>
      </c>
      <c r="E5">
        <v>8.8025889967637543</v>
      </c>
      <c r="F5">
        <v>14.099244875943905</v>
      </c>
      <c r="G5">
        <v>0.38834951456310679</v>
      </c>
      <c r="H5">
        <v>0.55016181229773464</v>
      </c>
      <c r="I5">
        <v>0.30204962243797195</v>
      </c>
      <c r="J5">
        <v>0.1941747572815534</v>
      </c>
      <c r="K5">
        <v>2.0496224379719523</v>
      </c>
      <c r="L5">
        <v>1.6504854368932038</v>
      </c>
      <c r="M5">
        <v>13.214670981661273</v>
      </c>
      <c r="N5">
        <v>13.581445523193096</v>
      </c>
      <c r="O5">
        <v>3.7324703344120818</v>
      </c>
      <c r="P5">
        <v>16.407766990291261</v>
      </c>
      <c r="Q5">
        <v>0.10787486515641855</v>
      </c>
      <c r="R5">
        <v>0.49622437971952532</v>
      </c>
      <c r="S5">
        <v>0</v>
      </c>
      <c r="T5">
        <v>0.18338727076591155</v>
      </c>
      <c r="U5">
        <v>0.25889967637540451</v>
      </c>
      <c r="V5">
        <v>0.90614886731391586</v>
      </c>
      <c r="W5">
        <v>0.87378640776699024</v>
      </c>
      <c r="X5">
        <v>0</v>
      </c>
      <c r="Y5">
        <v>0</v>
      </c>
      <c r="Z5">
        <v>13.398058252427184</v>
      </c>
      <c r="AA5">
        <v>0.39913700107874867</v>
      </c>
      <c r="AB5">
        <v>0.22653721682847897</v>
      </c>
      <c r="AC5">
        <v>2.319309600862999</v>
      </c>
      <c r="AD5">
        <v>0.74433656957928795</v>
      </c>
      <c r="AE5">
        <v>1.4455231930960086</v>
      </c>
      <c r="AF5">
        <v>0.21574973031283709</v>
      </c>
      <c r="AG5">
        <v>0.38834951456310679</v>
      </c>
      <c r="AH5">
        <v>0.43149946062567418</v>
      </c>
      <c r="AI5">
        <v>0.88457389428263211</v>
      </c>
      <c r="AJ5">
        <v>29.644012944983817</v>
      </c>
      <c r="AK5">
        <v>19.257001078748651</v>
      </c>
      <c r="AL5">
        <v>37.486515641855455</v>
      </c>
      <c r="AM5">
        <v>34.757281553398059</v>
      </c>
      <c r="AN5">
        <v>2.7292340884573894</v>
      </c>
      <c r="AO5">
        <v>18.241639697950376</v>
      </c>
      <c r="AP5">
        <v>2.233009708737864</v>
      </c>
      <c r="AQ5">
        <v>12.735177865612648</v>
      </c>
    </row>
    <row r="6" spans="1:43">
      <c r="A6">
        <v>1</v>
      </c>
      <c r="B6">
        <v>0.90128755364806867</v>
      </c>
      <c r="C6">
        <v>3.8197424892703862</v>
      </c>
      <c r="D6">
        <v>0.1609442060085837</v>
      </c>
      <c r="E6">
        <v>3.5836909871244633</v>
      </c>
      <c r="F6">
        <v>19.549356223175966</v>
      </c>
      <c r="G6">
        <v>0.60085836909871249</v>
      </c>
      <c r="H6">
        <v>1.8884120171673819</v>
      </c>
      <c r="I6">
        <v>0.22532188841201717</v>
      </c>
      <c r="J6">
        <v>0.18240343347639484</v>
      </c>
      <c r="K6">
        <v>0.72961373390557938</v>
      </c>
      <c r="L6">
        <v>0.90128755364806867</v>
      </c>
      <c r="M6">
        <v>9.6781115879828317</v>
      </c>
      <c r="N6">
        <v>29.087982832618025</v>
      </c>
      <c r="O6">
        <v>2.7360515021459224</v>
      </c>
      <c r="P6">
        <v>14.881974248927039</v>
      </c>
      <c r="Q6">
        <v>0.22532188841201717</v>
      </c>
      <c r="R6">
        <v>0.74034334763948495</v>
      </c>
      <c r="S6">
        <v>0</v>
      </c>
      <c r="T6">
        <v>9.6566523605150209E-2</v>
      </c>
      <c r="U6">
        <v>0.12875536480686695</v>
      </c>
      <c r="V6">
        <v>0.45064377682403434</v>
      </c>
      <c r="W6">
        <v>0.36480686695278969</v>
      </c>
      <c r="X6">
        <v>0</v>
      </c>
      <c r="Y6">
        <v>0</v>
      </c>
      <c r="Z6">
        <v>5.3969957081545061</v>
      </c>
      <c r="AA6">
        <v>0.30042918454935624</v>
      </c>
      <c r="AB6">
        <v>0</v>
      </c>
      <c r="AC6">
        <v>0.8905579399141631</v>
      </c>
      <c r="AD6">
        <v>0.25751072961373389</v>
      </c>
      <c r="AE6">
        <v>0.70815450643776823</v>
      </c>
      <c r="AF6">
        <v>0.09</v>
      </c>
      <c r="AG6">
        <v>0.23605150214592274</v>
      </c>
      <c r="AH6">
        <v>0.23605150214592274</v>
      </c>
      <c r="AI6">
        <v>0.62231759656652352</v>
      </c>
      <c r="AJ6">
        <v>34.360386266094423</v>
      </c>
      <c r="AK6">
        <v>35.021459227467801</v>
      </c>
      <c r="AL6">
        <v>24.452789699570815</v>
      </c>
      <c r="AM6">
        <v>22.467811158798284</v>
      </c>
      <c r="AN6">
        <v>1.9849785407725324</v>
      </c>
      <c r="AO6">
        <v>7.3605150214592268</v>
      </c>
      <c r="AP6">
        <v>1.244635193133047</v>
      </c>
      <c r="AQ6">
        <v>11.318918918918918</v>
      </c>
    </row>
    <row r="7" spans="1:43">
      <c r="A7">
        <v>2</v>
      </c>
      <c r="B7">
        <v>0.33222591362126247</v>
      </c>
      <c r="C7">
        <v>2.2076947808380667</v>
      </c>
      <c r="D7">
        <v>0.12860357946629514</v>
      </c>
      <c r="E7">
        <v>5.3156146179401995</v>
      </c>
      <c r="F7">
        <v>17.479369842460613</v>
      </c>
      <c r="G7">
        <v>0.503697352909656</v>
      </c>
      <c r="H7">
        <v>1.5968277783731646</v>
      </c>
      <c r="I7">
        <v>0.19290536919944271</v>
      </c>
      <c r="J7">
        <v>0.10716964955524595</v>
      </c>
      <c r="K7">
        <v>1.0395456006858856</v>
      </c>
      <c r="L7">
        <v>1.3932054442181974</v>
      </c>
      <c r="M7">
        <v>9.3559104061729723</v>
      </c>
      <c r="N7">
        <v>24.434680098596075</v>
      </c>
      <c r="O7">
        <v>3.0329010824134603</v>
      </c>
      <c r="P7">
        <v>15.110920587289678</v>
      </c>
      <c r="Q7">
        <v>0.30007501875468873</v>
      </c>
      <c r="R7">
        <v>1.9933554817275747</v>
      </c>
      <c r="S7">
        <v>0.2036223341549673</v>
      </c>
      <c r="T7">
        <v>0.10716964955524595</v>
      </c>
      <c r="U7">
        <v>0.2143392991104919</v>
      </c>
      <c r="V7">
        <v>0.35365984353231161</v>
      </c>
      <c r="W7">
        <v>0.41796163326545921</v>
      </c>
      <c r="X7">
        <v>0.11788661451077055</v>
      </c>
      <c r="Y7">
        <v>0</v>
      </c>
      <c r="Z7">
        <v>8.809345193441219</v>
      </c>
      <c r="AA7">
        <v>0.65373486228700028</v>
      </c>
      <c r="AB7">
        <v>0</v>
      </c>
      <c r="AC7">
        <v>1.0931304254635088</v>
      </c>
      <c r="AD7">
        <v>0.41796163326545921</v>
      </c>
      <c r="AE7">
        <v>1.4360733040402958</v>
      </c>
      <c r="AF7">
        <v>0</v>
      </c>
      <c r="AG7">
        <v>0.31079198371021322</v>
      </c>
      <c r="AH7">
        <v>0.2143392991104919</v>
      </c>
      <c r="AI7">
        <v>0.83592326653091842</v>
      </c>
      <c r="AJ7">
        <v>29.675275961847603</v>
      </c>
      <c r="AK7">
        <v>30.232558139534881</v>
      </c>
      <c r="AL7">
        <v>31.218518915443152</v>
      </c>
      <c r="AM7">
        <v>26.503054335012322</v>
      </c>
      <c r="AN7">
        <v>4.7154645804308215</v>
      </c>
      <c r="AO7">
        <v>11.092058728967958</v>
      </c>
      <c r="AP7">
        <v>2.51848676454828</v>
      </c>
      <c r="AQ7">
        <v>5.620454545454546</v>
      </c>
    </row>
    <row r="8" spans="1:43">
      <c r="A8">
        <v>2</v>
      </c>
      <c r="B8">
        <v>0.978494623655914</v>
      </c>
      <c r="C8">
        <v>4.247311827956989</v>
      </c>
      <c r="D8">
        <v>0.21505376344086022</v>
      </c>
      <c r="E8">
        <v>3.2795698924731185</v>
      </c>
      <c r="F8">
        <v>20.666666666666668</v>
      </c>
      <c r="G8">
        <v>0.60215053763440873</v>
      </c>
      <c r="H8">
        <v>2.236559139784946</v>
      </c>
      <c r="I8">
        <v>0.22580645161290322</v>
      </c>
      <c r="J8">
        <v>0.20430107526881722</v>
      </c>
      <c r="K8">
        <v>0.64516129032258063</v>
      </c>
      <c r="L8">
        <v>0.81720430107526887</v>
      </c>
      <c r="M8">
        <v>8.4516129032258061</v>
      </c>
      <c r="N8">
        <v>29.978494623655912</v>
      </c>
      <c r="O8">
        <v>2.5161290322580645</v>
      </c>
      <c r="P8">
        <v>13.258064516129032</v>
      </c>
      <c r="Q8">
        <v>0.19354838709677419</v>
      </c>
      <c r="R8">
        <v>2.752688172043011</v>
      </c>
      <c r="S8">
        <v>0.10752688172043011</v>
      </c>
      <c r="T8">
        <v>0.10752688172043011</v>
      </c>
      <c r="U8">
        <v>0.23655913978494625</v>
      </c>
      <c r="V8">
        <v>0.26881720430107525</v>
      </c>
      <c r="W8">
        <v>0.27956989247311825</v>
      </c>
      <c r="X8">
        <v>0.09</v>
      </c>
      <c r="Y8">
        <v>0</v>
      </c>
      <c r="Z8">
        <v>4.279569892473118</v>
      </c>
      <c r="AA8">
        <v>0.38709677419354838</v>
      </c>
      <c r="AB8">
        <v>0</v>
      </c>
      <c r="AC8">
        <v>0.61290322580645151</v>
      </c>
      <c r="AD8">
        <v>0.18279569892473119</v>
      </c>
      <c r="AE8">
        <v>0.89247311827956988</v>
      </c>
      <c r="AF8">
        <v>0</v>
      </c>
      <c r="AG8">
        <v>0.16129032258064516</v>
      </c>
      <c r="AH8">
        <v>0.18279569892473119</v>
      </c>
      <c r="AI8">
        <v>0.6</v>
      </c>
      <c r="AJ8">
        <v>34.677419354838712</v>
      </c>
      <c r="AK8">
        <v>36.172043010752681</v>
      </c>
      <c r="AL8">
        <v>23.466344086021508</v>
      </c>
      <c r="AM8">
        <v>19.075268817204304</v>
      </c>
      <c r="AN8">
        <v>4.3910752688172039</v>
      </c>
      <c r="AO8">
        <v>5.623655913978495</v>
      </c>
      <c r="AP8">
        <v>1.5308602150537636</v>
      </c>
      <c r="AQ8">
        <v>4.3440997134951154</v>
      </c>
    </row>
    <row r="9" spans="1:43">
      <c r="A9">
        <v>2</v>
      </c>
      <c r="B9">
        <v>1.3020833333333333</v>
      </c>
      <c r="C9">
        <v>4.6674679487179489</v>
      </c>
      <c r="D9">
        <v>0.2203525641025641</v>
      </c>
      <c r="E9">
        <v>3.2952724358974357</v>
      </c>
      <c r="F9">
        <v>21.834935897435898</v>
      </c>
      <c r="G9">
        <v>0.63100961538461531</v>
      </c>
      <c r="H9">
        <v>2.1935096153846154</v>
      </c>
      <c r="I9">
        <v>0.25040064102564102</v>
      </c>
      <c r="J9">
        <v>0.2203525641025641</v>
      </c>
      <c r="K9">
        <v>0.6109775641025641</v>
      </c>
      <c r="L9">
        <v>0.65104166666666663</v>
      </c>
      <c r="M9">
        <v>7.7223557692307692</v>
      </c>
      <c r="N9">
        <v>28.555689102564102</v>
      </c>
      <c r="O9">
        <v>2.6842948717948718</v>
      </c>
      <c r="P9">
        <v>13.361378205128204</v>
      </c>
      <c r="Q9">
        <v>0.24038461538461536</v>
      </c>
      <c r="R9">
        <v>2.4238782051282048</v>
      </c>
      <c r="S9">
        <v>0.14022435897435898</v>
      </c>
      <c r="T9">
        <v>0.1001602564102564</v>
      </c>
      <c r="U9">
        <v>0.19030448717948717</v>
      </c>
      <c r="V9">
        <v>0.29046474358974356</v>
      </c>
      <c r="W9">
        <v>0.390625</v>
      </c>
      <c r="X9">
        <v>0.1</v>
      </c>
      <c r="Y9">
        <v>0</v>
      </c>
      <c r="Z9">
        <v>4.5873397435897436</v>
      </c>
      <c r="AA9">
        <v>0.43068910256410253</v>
      </c>
      <c r="AB9">
        <v>0</v>
      </c>
      <c r="AC9">
        <v>0.66105769230769229</v>
      </c>
      <c r="AD9">
        <v>0.2003205128205128</v>
      </c>
      <c r="AE9">
        <v>0.92147435897435892</v>
      </c>
      <c r="AF9">
        <v>0</v>
      </c>
      <c r="AG9">
        <v>0.1001602564102564</v>
      </c>
      <c r="AH9">
        <v>0.14022435897435898</v>
      </c>
      <c r="AI9">
        <v>0.41065705128205127</v>
      </c>
      <c r="AJ9">
        <v>35.877403846153847</v>
      </c>
      <c r="AK9">
        <v>34.835737179487175</v>
      </c>
      <c r="AL9">
        <v>23.847996794871797</v>
      </c>
      <c r="AM9">
        <v>19.731570512820515</v>
      </c>
      <c r="AN9">
        <v>4.1164262820512816</v>
      </c>
      <c r="AO9">
        <v>6.1298076923076925</v>
      </c>
      <c r="AP9">
        <v>1.5523237179487177</v>
      </c>
      <c r="AQ9">
        <v>4.793373951297375</v>
      </c>
    </row>
    <row r="10" spans="1:43">
      <c r="A10">
        <v>2</v>
      </c>
      <c r="B10">
        <v>0.69017577914375061</v>
      </c>
      <c r="C10">
        <v>2.9871670441065459</v>
      </c>
      <c r="D10">
        <v>0.21567993098242208</v>
      </c>
      <c r="E10">
        <v>5.4890542435026415</v>
      </c>
      <c r="F10">
        <v>17.728890326755096</v>
      </c>
      <c r="G10">
        <v>0.59311981020166082</v>
      </c>
      <c r="H10">
        <v>2.2646392753154316</v>
      </c>
      <c r="I10">
        <v>0.19411193788417988</v>
      </c>
      <c r="J10">
        <v>0.20489593443330098</v>
      </c>
      <c r="K10">
        <v>0.89507171357705162</v>
      </c>
      <c r="L10">
        <v>1.1646716273050792</v>
      </c>
      <c r="M10">
        <v>7.8723174808584062</v>
      </c>
      <c r="N10">
        <v>22.409144829073654</v>
      </c>
      <c r="O10">
        <v>3.5695028577590855</v>
      </c>
      <c r="P10">
        <v>16.251482799525505</v>
      </c>
      <c r="Q10">
        <v>0.18332794133505875</v>
      </c>
      <c r="R10">
        <v>3.6126388439555699</v>
      </c>
      <c r="S10">
        <v>0.10783996549121104</v>
      </c>
      <c r="T10">
        <v>0.10783996549121104</v>
      </c>
      <c r="U10">
        <v>0.20489593443330098</v>
      </c>
      <c r="V10">
        <v>0.35587188612099641</v>
      </c>
      <c r="W10">
        <v>0.43135986196484416</v>
      </c>
      <c r="X10">
        <v>0.18332794133505875</v>
      </c>
      <c r="Y10">
        <v>0</v>
      </c>
      <c r="Z10">
        <v>7.4625256119918042</v>
      </c>
      <c r="AA10">
        <v>0.66860778604550841</v>
      </c>
      <c r="AB10">
        <v>0</v>
      </c>
      <c r="AC10">
        <v>0.78723174808584062</v>
      </c>
      <c r="AD10">
        <v>0.24803192062978538</v>
      </c>
      <c r="AE10">
        <v>1.2401596031489268</v>
      </c>
      <c r="AF10">
        <v>0</v>
      </c>
      <c r="AG10">
        <v>0.24803192062978538</v>
      </c>
      <c r="AH10">
        <v>0.31273589992451195</v>
      </c>
      <c r="AI10">
        <v>1.0783996549121104</v>
      </c>
      <c r="AJ10">
        <v>29.580502534239191</v>
      </c>
      <c r="AK10">
        <v>29.774614472123368</v>
      </c>
      <c r="AL10">
        <v>31.780437830259896</v>
      </c>
      <c r="AM10">
        <v>25.719831769653833</v>
      </c>
      <c r="AN10">
        <v>6.0606060606060597</v>
      </c>
      <c r="AO10">
        <v>9.2850210287932704</v>
      </c>
      <c r="AP10">
        <v>2.3401272511592794</v>
      </c>
      <c r="AQ10">
        <v>4.2437722419928834</v>
      </c>
    </row>
    <row r="11" spans="1:43">
      <c r="A11">
        <v>2</v>
      </c>
      <c r="B11">
        <v>0.69196669910260578</v>
      </c>
      <c r="C11">
        <v>2.7462428370634666</v>
      </c>
      <c r="D11">
        <v>0.17299167477565144</v>
      </c>
      <c r="E11">
        <v>5.0924424262082386</v>
      </c>
      <c r="F11">
        <v>17.68839874581036</v>
      </c>
      <c r="G11">
        <v>0.55141096334738893</v>
      </c>
      <c r="H11">
        <v>1.3839333982052116</v>
      </c>
      <c r="I11">
        <v>0.28111147151043359</v>
      </c>
      <c r="J11">
        <v>0.19461563412260785</v>
      </c>
      <c r="K11">
        <v>0.88658233322521363</v>
      </c>
      <c r="L11">
        <v>0.99470212995999574</v>
      </c>
      <c r="M11">
        <v>10.152448913396043</v>
      </c>
      <c r="N11">
        <v>22.888960968753381</v>
      </c>
      <c r="O11">
        <v>3.524705373553898</v>
      </c>
      <c r="P11">
        <v>16.326089306952102</v>
      </c>
      <c r="Q11">
        <v>0.20542761379608607</v>
      </c>
      <c r="R11">
        <v>3.0273543085739001</v>
      </c>
      <c r="S11">
        <v>0.18380365444912963</v>
      </c>
      <c r="T11">
        <v>0.10811979673478214</v>
      </c>
      <c r="U11">
        <v>0.24867553248999894</v>
      </c>
      <c r="V11">
        <v>0.27029949183695534</v>
      </c>
      <c r="W11">
        <v>0.48653908530651963</v>
      </c>
      <c r="X11">
        <v>0.19461563412260785</v>
      </c>
      <c r="Y11">
        <v>0</v>
      </c>
      <c r="Z11">
        <v>6.4871878040869291</v>
      </c>
      <c r="AA11">
        <v>0.82171045518434427</v>
      </c>
      <c r="AB11">
        <v>0.15136771542869501</v>
      </c>
      <c r="AC11">
        <v>0.86495837387825714</v>
      </c>
      <c r="AD11">
        <v>0.24867553248999894</v>
      </c>
      <c r="AE11">
        <v>1.5353011136339065</v>
      </c>
      <c r="AF11">
        <v>0</v>
      </c>
      <c r="AG11">
        <v>0.30273543085739002</v>
      </c>
      <c r="AH11">
        <v>0.34598334955130289</v>
      </c>
      <c r="AI11">
        <v>0.91901827224564825</v>
      </c>
      <c r="AJ11">
        <v>31.81965617904639</v>
      </c>
      <c r="AK11">
        <v>29.311276894799441</v>
      </c>
      <c r="AL11">
        <v>30.954697805168124</v>
      </c>
      <c r="AM11">
        <v>24.889177208346844</v>
      </c>
      <c r="AN11">
        <v>6.065520596821278</v>
      </c>
      <c r="AO11">
        <v>8.3576602875986605</v>
      </c>
      <c r="AP11">
        <v>2.8543626337982486</v>
      </c>
      <c r="AQ11">
        <v>4.1033868092691614</v>
      </c>
    </row>
    <row r="12" spans="1:43">
      <c r="A12">
        <v>3</v>
      </c>
      <c r="B12">
        <v>0.64391500321957496</v>
      </c>
      <c r="C12">
        <v>3.1981111826572222</v>
      </c>
      <c r="D12">
        <v>0.15024683408456752</v>
      </c>
      <c r="E12">
        <v>3.3805537669027688</v>
      </c>
      <c r="F12">
        <v>19.489160764112469</v>
      </c>
      <c r="G12">
        <v>0.52586391929598619</v>
      </c>
      <c r="H12">
        <v>1.6419832582099161</v>
      </c>
      <c r="I12">
        <v>0.25756600128782997</v>
      </c>
      <c r="J12">
        <v>0.18244258424554624</v>
      </c>
      <c r="K12">
        <v>0.78342992058381622</v>
      </c>
      <c r="L12">
        <v>0.85855333762609998</v>
      </c>
      <c r="M12">
        <v>10.667525220004292</v>
      </c>
      <c r="N12">
        <v>27.967374973170205</v>
      </c>
      <c r="O12">
        <v>3.4342133505043999</v>
      </c>
      <c r="P12">
        <v>13.640266151534663</v>
      </c>
      <c r="Q12">
        <v>0.5687915861772912</v>
      </c>
      <c r="R12">
        <v>2.2322386778278598</v>
      </c>
      <c r="S12">
        <v>0.44000858553337624</v>
      </c>
      <c r="T12">
        <v>0.1073191672032625</v>
      </c>
      <c r="U12">
        <v>0.21463833440652499</v>
      </c>
      <c r="V12">
        <v>0.2361021678471775</v>
      </c>
      <c r="W12">
        <v>0.51513200257565994</v>
      </c>
      <c r="X12">
        <v>0.12878300064391499</v>
      </c>
      <c r="Y12">
        <v>0.13951491736424124</v>
      </c>
      <c r="Z12">
        <v>5.0440008585533374</v>
      </c>
      <c r="AA12">
        <v>0.71903842026185871</v>
      </c>
      <c r="AB12">
        <v>0.11805108392358875</v>
      </c>
      <c r="AC12">
        <v>0.70830650354153246</v>
      </c>
      <c r="AD12">
        <v>0.18244258424554624</v>
      </c>
      <c r="AE12">
        <v>1.0302640051513199</v>
      </c>
      <c r="AF12">
        <v>0</v>
      </c>
      <c r="AG12">
        <v>0.19317450096587249</v>
      </c>
      <c r="AH12">
        <v>0.17171066752521999</v>
      </c>
      <c r="AI12">
        <v>0.30049366816913503</v>
      </c>
      <c r="AJ12">
        <v>34.481648422408242</v>
      </c>
      <c r="AK12">
        <v>34.28847392144236</v>
      </c>
      <c r="AL12">
        <v>25.778063962223651</v>
      </c>
      <c r="AM12">
        <v>20.895041854475206</v>
      </c>
      <c r="AN12">
        <v>4.8830221077484435</v>
      </c>
      <c r="AO12">
        <v>6.6859841167632537</v>
      </c>
      <c r="AP12">
        <v>2.2107748443872071</v>
      </c>
      <c r="AQ12">
        <v>4.279120879120879</v>
      </c>
    </row>
    <row r="13" spans="1:43">
      <c r="A13">
        <v>3</v>
      </c>
      <c r="B13">
        <v>0.99274124679760878</v>
      </c>
      <c r="C13">
        <v>4.4192997438087094</v>
      </c>
      <c r="D13">
        <v>0.20281810418445773</v>
      </c>
      <c r="E13">
        <v>2.4231426131511529</v>
      </c>
      <c r="F13">
        <v>21.594790777113577</v>
      </c>
      <c r="G13">
        <v>0.6725021349274124</v>
      </c>
      <c r="H13">
        <v>2.2309991460290348</v>
      </c>
      <c r="I13">
        <v>0.2561912894961571</v>
      </c>
      <c r="J13">
        <v>0.14944491887275835</v>
      </c>
      <c r="K13">
        <v>0.51238257899231421</v>
      </c>
      <c r="L13">
        <v>0.62980358667805292</v>
      </c>
      <c r="M13">
        <v>9.2976088812980358</v>
      </c>
      <c r="N13">
        <v>31.863791631084542</v>
      </c>
      <c r="O13">
        <v>3.0956447480785649</v>
      </c>
      <c r="P13">
        <v>11.720751494449187</v>
      </c>
      <c r="Q13">
        <v>0.44833475661827493</v>
      </c>
      <c r="R13">
        <v>1.5905209222886421</v>
      </c>
      <c r="S13">
        <v>0.38428693424423566</v>
      </c>
      <c r="T13">
        <v>0.1067463706233988</v>
      </c>
      <c r="U13">
        <v>0.22416737830913747</v>
      </c>
      <c r="V13">
        <v>0.14944491887275835</v>
      </c>
      <c r="W13">
        <v>0.37361229718189581</v>
      </c>
      <c r="X13">
        <v>9.6071733561058914E-2</v>
      </c>
      <c r="Y13">
        <v>0.12809564474807855</v>
      </c>
      <c r="Z13">
        <v>3.3625106746370621</v>
      </c>
      <c r="AA13">
        <v>0.49103330486763447</v>
      </c>
      <c r="AB13">
        <v>0</v>
      </c>
      <c r="AC13">
        <v>0.43766011955593509</v>
      </c>
      <c r="AD13">
        <v>0.1067463706233988</v>
      </c>
      <c r="AE13">
        <v>0.85397096498719038</v>
      </c>
      <c r="AF13">
        <v>0</v>
      </c>
      <c r="AG13">
        <v>0.18146883005977796</v>
      </c>
      <c r="AH13">
        <v>0.266865926558497</v>
      </c>
      <c r="AI13">
        <v>0.60845431255337323</v>
      </c>
      <c r="AJ13">
        <v>36.66737830913749</v>
      </c>
      <c r="AK13">
        <v>38.706233988044403</v>
      </c>
      <c r="AL13">
        <v>20.324508966695131</v>
      </c>
      <c r="AM13">
        <v>16.599060631938514</v>
      </c>
      <c r="AN13">
        <v>3.7254483347566181</v>
      </c>
      <c r="AO13">
        <v>4.4299743808710508</v>
      </c>
      <c r="AP13">
        <v>1.7506404782237404</v>
      </c>
      <c r="AQ13">
        <v>4.455587392550143</v>
      </c>
    </row>
    <row r="14" spans="1:43">
      <c r="A14">
        <v>3</v>
      </c>
      <c r="B14">
        <v>0.77014860613949454</v>
      </c>
      <c r="C14">
        <v>3.7639657229634453</v>
      </c>
      <c r="D14">
        <v>0.17355461546805512</v>
      </c>
      <c r="E14">
        <v>1.5511443757457426</v>
      </c>
      <c r="F14">
        <v>21.282134721770259</v>
      </c>
      <c r="G14">
        <v>0.61828831760494629</v>
      </c>
      <c r="H14">
        <v>1.8982536066818527</v>
      </c>
      <c r="I14">
        <v>0.24948475973532921</v>
      </c>
      <c r="J14">
        <v>0.17355461546805512</v>
      </c>
      <c r="K14">
        <v>0.3037205770690965</v>
      </c>
      <c r="L14">
        <v>0.43388653867013777</v>
      </c>
      <c r="M14">
        <v>9.9685432259464157</v>
      </c>
      <c r="N14">
        <v>26.543009003145677</v>
      </c>
      <c r="O14">
        <v>3.8941316845644867</v>
      </c>
      <c r="P14">
        <v>16.010413276928084</v>
      </c>
      <c r="Q14">
        <v>0.607441154138193</v>
      </c>
      <c r="R14">
        <v>2.180279856817442</v>
      </c>
      <c r="S14">
        <v>0.39049788480312397</v>
      </c>
      <c r="T14">
        <v>0.10847163466753444</v>
      </c>
      <c r="U14">
        <v>0.22779043280182232</v>
      </c>
      <c r="V14">
        <v>0.17355461546805512</v>
      </c>
      <c r="W14">
        <v>0.50981668293741189</v>
      </c>
      <c r="X14">
        <v>0.1</v>
      </c>
      <c r="Y14">
        <v>0.10847163466753444</v>
      </c>
      <c r="Z14">
        <v>4.5341143291029393</v>
      </c>
      <c r="AA14">
        <v>0.58574682720468596</v>
      </c>
      <c r="AB14">
        <v>0</v>
      </c>
      <c r="AC14">
        <v>0.66167697147196014</v>
      </c>
      <c r="AD14">
        <v>0.16270745200130166</v>
      </c>
      <c r="AE14">
        <v>1.0087862024080703</v>
      </c>
      <c r="AF14">
        <v>0</v>
      </c>
      <c r="AG14">
        <v>0.15186028853454825</v>
      </c>
      <c r="AH14">
        <v>0.20609610586831545</v>
      </c>
      <c r="AI14">
        <v>0.53151100987091882</v>
      </c>
      <c r="AJ14">
        <v>36.142748671222478</v>
      </c>
      <c r="AK14">
        <v>33.73467838160321</v>
      </c>
      <c r="AL14">
        <v>27.185367176483354</v>
      </c>
      <c r="AM14">
        <v>22.659724482047949</v>
      </c>
      <c r="AN14">
        <v>4.5256426944354047</v>
      </c>
      <c r="AO14">
        <v>6.0418700509816681</v>
      </c>
      <c r="AP14">
        <v>1.9548649528148387</v>
      </c>
      <c r="AQ14">
        <v>5.0069627701518877</v>
      </c>
    </row>
    <row r="15" spans="1:43">
      <c r="A15">
        <v>3</v>
      </c>
      <c r="B15">
        <v>0.27316433566433568</v>
      </c>
      <c r="C15">
        <v>1.6171328671328673</v>
      </c>
      <c r="D15">
        <v>0.21853146853146854</v>
      </c>
      <c r="E15">
        <v>5.5725524475524475</v>
      </c>
      <c r="F15">
        <v>16.652097902097903</v>
      </c>
      <c r="G15">
        <v>0.45891608391608396</v>
      </c>
      <c r="H15">
        <v>0.86319930069930073</v>
      </c>
      <c r="I15">
        <v>0.24038461538461539</v>
      </c>
      <c r="J15">
        <v>0.16</v>
      </c>
      <c r="K15">
        <v>1.1909965034965038</v>
      </c>
      <c r="L15">
        <v>1.5625</v>
      </c>
      <c r="M15">
        <v>10.303758741258742</v>
      </c>
      <c r="N15">
        <v>16.947115384615387</v>
      </c>
      <c r="O15">
        <v>3.5402097902097904</v>
      </c>
      <c r="P15">
        <v>18.509615384615387</v>
      </c>
      <c r="Q15">
        <v>0.64466783216783219</v>
      </c>
      <c r="R15">
        <v>2.0760489510489513</v>
      </c>
      <c r="S15">
        <v>0.28409090909090912</v>
      </c>
      <c r="T15">
        <v>0.10926573426573427</v>
      </c>
      <c r="U15">
        <v>0.27316433566433568</v>
      </c>
      <c r="V15">
        <v>0.43706293706293708</v>
      </c>
      <c r="W15">
        <v>0.77578671328671334</v>
      </c>
      <c r="X15">
        <v>0.17482517482517484</v>
      </c>
      <c r="Y15">
        <v>0.13111888111888112</v>
      </c>
      <c r="Z15">
        <v>10.467657342657343</v>
      </c>
      <c r="AA15">
        <v>1.3658216783216783</v>
      </c>
      <c r="AB15">
        <v>0</v>
      </c>
      <c r="AC15">
        <v>1.4095279720279721</v>
      </c>
      <c r="AD15">
        <v>0.42613636363636365</v>
      </c>
      <c r="AE15">
        <v>2.1416083916083917</v>
      </c>
      <c r="AF15">
        <v>0</v>
      </c>
      <c r="AG15">
        <v>0.39335664335664339</v>
      </c>
      <c r="AH15">
        <v>0.34965034965034969</v>
      </c>
      <c r="AI15">
        <v>0.59003496503496511</v>
      </c>
      <c r="AJ15">
        <v>29.1958041958042</v>
      </c>
      <c r="AK15">
        <v>22.810786713286717</v>
      </c>
      <c r="AL15">
        <v>39.237325174825187</v>
      </c>
      <c r="AM15">
        <v>32.670454545454554</v>
      </c>
      <c r="AN15">
        <v>6.56687062937063</v>
      </c>
      <c r="AO15">
        <v>13.516171328671328</v>
      </c>
      <c r="AP15">
        <v>4.2067307692307692</v>
      </c>
      <c r="AQ15">
        <v>4.9750415973377713</v>
      </c>
    </row>
    <row r="16" spans="1:43">
      <c r="A16">
        <v>3</v>
      </c>
      <c r="B16">
        <v>0.67014147431124349</v>
      </c>
      <c r="C16">
        <v>4.0208488458674605</v>
      </c>
      <c r="D16">
        <v>0.19146899266035527</v>
      </c>
      <c r="E16">
        <v>2.9890437187533241</v>
      </c>
      <c r="F16">
        <v>19.625571747686415</v>
      </c>
      <c r="G16">
        <v>0.78715030315923828</v>
      </c>
      <c r="H16">
        <v>2.1593447505584509</v>
      </c>
      <c r="I16">
        <v>0.22338049143708114</v>
      </c>
      <c r="J16">
        <v>0.19146899266035527</v>
      </c>
      <c r="K16">
        <v>0.55313264546324858</v>
      </c>
      <c r="L16">
        <v>0.7658759706414211</v>
      </c>
      <c r="M16">
        <v>9.6798212956068497</v>
      </c>
      <c r="N16">
        <v>31.326454632485905</v>
      </c>
      <c r="O16">
        <v>3.5953621955111155</v>
      </c>
      <c r="P16">
        <v>12.38166152536964</v>
      </c>
      <c r="Q16">
        <v>0.47867248165088816</v>
      </c>
      <c r="R16">
        <v>1.5955749388362939</v>
      </c>
      <c r="S16">
        <v>0.38293798532071055</v>
      </c>
      <c r="T16">
        <v>0.10637166258908626</v>
      </c>
      <c r="U16">
        <v>0.21274332517817252</v>
      </c>
      <c r="V16">
        <v>0.15955749388362939</v>
      </c>
      <c r="W16">
        <v>0.39357515157961914</v>
      </c>
      <c r="X16">
        <v>9.5734496330177637E-2</v>
      </c>
      <c r="Y16">
        <v>0.10637166258908626</v>
      </c>
      <c r="Z16">
        <v>4.1591320072332731</v>
      </c>
      <c r="AA16">
        <v>0.42548665035634503</v>
      </c>
      <c r="AB16">
        <v>0</v>
      </c>
      <c r="AC16">
        <v>0.58504414423997453</v>
      </c>
      <c r="AD16">
        <v>0.13828316136581215</v>
      </c>
      <c r="AE16">
        <v>0.88288479948941601</v>
      </c>
      <c r="AF16">
        <v>0</v>
      </c>
      <c r="AG16">
        <v>0.14892032762472079</v>
      </c>
      <c r="AH16">
        <v>0.18083182640144665</v>
      </c>
      <c r="AI16">
        <v>0.55313264546324858</v>
      </c>
      <c r="AJ16">
        <v>34.32613551749813</v>
      </c>
      <c r="AK16">
        <v>38.644825018615037</v>
      </c>
      <c r="AL16">
        <v>21.933836825869591</v>
      </c>
      <c r="AM16">
        <v>18.295925965322837</v>
      </c>
      <c r="AN16">
        <v>3.6379108605467501</v>
      </c>
      <c r="AO16">
        <v>5.4355919583023082</v>
      </c>
      <c r="AP16">
        <v>1.6593979363897458</v>
      </c>
      <c r="AQ16">
        <v>5.0292397660818713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ED-8AC3-4253-A1E0-9B907A47951F}">
  <dimension ref="A1:AN760"/>
  <sheetViews>
    <sheetView workbookViewId="0">
      <selection activeCell="H66" sqref="H66"/>
    </sheetView>
  </sheetViews>
  <sheetFormatPr baseColWidth="10" defaultRowHeight="14.5"/>
  <cols>
    <col min="32" max="32" width="16.7265625" customWidth="1"/>
  </cols>
  <sheetData>
    <row r="1" spans="1:40" ht="15" thickBot="1">
      <c r="A1" s="106" t="s">
        <v>151</v>
      </c>
      <c r="B1" s="106"/>
      <c r="C1" s="106"/>
      <c r="D1" s="106"/>
      <c r="E1" s="106"/>
      <c r="F1" s="106"/>
      <c r="G1" s="106"/>
      <c r="H1" s="106"/>
      <c r="I1" s="42"/>
      <c r="J1" s="102" t="s">
        <v>154</v>
      </c>
      <c r="K1" s="102"/>
      <c r="L1" s="102"/>
      <c r="M1" s="102"/>
      <c r="N1" s="102"/>
      <c r="P1" s="102" t="s">
        <v>159</v>
      </c>
      <c r="Q1" s="102"/>
      <c r="R1" s="102"/>
      <c r="S1" s="102"/>
      <c r="T1" s="102"/>
      <c r="U1" s="102"/>
      <c r="V1" s="102"/>
      <c r="X1" s="102" t="s">
        <v>173</v>
      </c>
      <c r="Y1" s="102"/>
      <c r="Z1" s="102"/>
      <c r="AA1" s="102"/>
      <c r="AB1" s="102"/>
      <c r="AC1" s="102"/>
      <c r="AD1" s="84"/>
      <c r="AE1" t="s">
        <v>175</v>
      </c>
      <c r="AG1" s="113" t="s">
        <v>227</v>
      </c>
      <c r="AH1" s="113"/>
      <c r="AI1" s="113"/>
      <c r="AJ1" s="113"/>
      <c r="AK1" s="113"/>
      <c r="AL1" s="113"/>
      <c r="AM1" s="113"/>
      <c r="AN1" s="113"/>
    </row>
    <row r="2" spans="1:40" ht="25" thickTop="1" thickBot="1">
      <c r="A2" s="107" t="s">
        <v>100</v>
      </c>
      <c r="B2" s="108"/>
      <c r="C2" s="111" t="s">
        <v>152</v>
      </c>
      <c r="D2" s="95"/>
      <c r="E2" s="95"/>
      <c r="F2" s="95" t="s">
        <v>101</v>
      </c>
      <c r="G2" s="95"/>
      <c r="H2" s="96"/>
      <c r="I2" s="42"/>
      <c r="J2" s="103" t="s">
        <v>155</v>
      </c>
      <c r="K2" s="62" t="s">
        <v>156</v>
      </c>
      <c r="L2" s="63" t="s">
        <v>157</v>
      </c>
      <c r="M2" s="63" t="s">
        <v>158</v>
      </c>
      <c r="N2" s="64" t="s">
        <v>104</v>
      </c>
      <c r="P2" s="104" t="s">
        <v>155</v>
      </c>
      <c r="Q2" s="105"/>
      <c r="R2" s="62" t="s">
        <v>160</v>
      </c>
      <c r="S2" s="63" t="s">
        <v>103</v>
      </c>
      <c r="T2" s="63" t="s">
        <v>161</v>
      </c>
      <c r="U2" s="63" t="s">
        <v>162</v>
      </c>
      <c r="V2" s="64" t="s">
        <v>104</v>
      </c>
      <c r="X2" s="104" t="s">
        <v>155</v>
      </c>
      <c r="Y2" s="105"/>
      <c r="Z2" s="62" t="s">
        <v>174</v>
      </c>
      <c r="AA2" s="63" t="s">
        <v>157</v>
      </c>
      <c r="AB2" s="63" t="s">
        <v>158</v>
      </c>
      <c r="AC2" s="64" t="s">
        <v>104</v>
      </c>
      <c r="AD2" s="84"/>
      <c r="AE2" t="s">
        <v>176</v>
      </c>
      <c r="AG2" t="s">
        <v>185</v>
      </c>
      <c r="AH2" t="s">
        <v>186</v>
      </c>
      <c r="AI2" t="s">
        <v>177</v>
      </c>
      <c r="AJ2" t="s">
        <v>178</v>
      </c>
      <c r="AK2" t="s">
        <v>104</v>
      </c>
      <c r="AL2" t="s">
        <v>179</v>
      </c>
    </row>
    <row r="3" spans="1:40" ht="15.5" thickTop="1" thickBot="1">
      <c r="A3" s="109"/>
      <c r="B3" s="110"/>
      <c r="C3" s="43" t="s">
        <v>102</v>
      </c>
      <c r="D3" s="44" t="s">
        <v>103</v>
      </c>
      <c r="E3" s="44" t="s">
        <v>104</v>
      </c>
      <c r="F3" s="44" t="s">
        <v>102</v>
      </c>
      <c r="G3" s="44" t="s">
        <v>103</v>
      </c>
      <c r="H3" s="45" t="s">
        <v>104</v>
      </c>
      <c r="I3" s="42"/>
      <c r="J3" s="65" t="s">
        <v>105</v>
      </c>
      <c r="K3" s="66">
        <v>0.51555529882812312</v>
      </c>
      <c r="L3" s="67">
        <v>2</v>
      </c>
      <c r="M3" s="67">
        <v>12</v>
      </c>
      <c r="N3" s="57">
        <v>0.60981610793134766</v>
      </c>
      <c r="P3" s="100" t="s">
        <v>105</v>
      </c>
      <c r="Q3" s="75" t="s">
        <v>163</v>
      </c>
      <c r="R3" s="66">
        <v>0.14372195971492108</v>
      </c>
      <c r="S3" s="67">
        <v>2</v>
      </c>
      <c r="T3" s="76">
        <v>7.1860979857460539E-2</v>
      </c>
      <c r="U3" s="76">
        <v>0.82063872467548926</v>
      </c>
      <c r="V3" s="57">
        <v>0.46340127419646726</v>
      </c>
      <c r="X3" s="100" t="s">
        <v>105</v>
      </c>
      <c r="Y3" s="75" t="s">
        <v>166</v>
      </c>
      <c r="Z3" s="66">
        <v>0.70198962155832267</v>
      </c>
      <c r="AA3" s="67">
        <v>2</v>
      </c>
      <c r="AB3" s="85">
        <v>7.8382582804028198</v>
      </c>
      <c r="AC3" s="57">
        <v>0.5242720417026161</v>
      </c>
      <c r="AD3" s="84"/>
      <c r="AL3" t="s">
        <v>180</v>
      </c>
      <c r="AM3" t="s">
        <v>181</v>
      </c>
    </row>
    <row r="4" spans="1:40" ht="23.5" thickTop="1">
      <c r="A4" s="97" t="s">
        <v>105</v>
      </c>
      <c r="B4" s="46" t="s">
        <v>3</v>
      </c>
      <c r="C4" s="47">
        <v>0.17344808326736166</v>
      </c>
      <c r="D4" s="48">
        <v>5</v>
      </c>
      <c r="E4" s="49" t="s">
        <v>153</v>
      </c>
      <c r="F4" s="50">
        <v>0.98593198972110851</v>
      </c>
      <c r="G4" s="48">
        <v>5</v>
      </c>
      <c r="H4" s="57">
        <v>0.96361052879510301</v>
      </c>
      <c r="I4" s="42"/>
      <c r="J4" s="68" t="s">
        <v>106</v>
      </c>
      <c r="K4" s="69">
        <v>3.0493116301454574E-2</v>
      </c>
      <c r="L4" s="70">
        <v>2</v>
      </c>
      <c r="M4" s="70">
        <v>12</v>
      </c>
      <c r="N4" s="57">
        <v>0.97004201693855652</v>
      </c>
      <c r="P4" s="101"/>
      <c r="Q4" s="77" t="s">
        <v>164</v>
      </c>
      <c r="R4" s="71">
        <v>1.0508055888180565</v>
      </c>
      <c r="S4" s="70">
        <v>12</v>
      </c>
      <c r="T4" s="78">
        <v>8.756713240150471E-2</v>
      </c>
      <c r="U4" s="79"/>
      <c r="V4" s="57"/>
      <c r="X4" s="101"/>
      <c r="Y4" s="77" t="s">
        <v>167</v>
      </c>
      <c r="Z4" s="69">
        <v>0.82063872467548937</v>
      </c>
      <c r="AA4" s="70">
        <v>2</v>
      </c>
      <c r="AB4" s="80">
        <v>10.646618787032013</v>
      </c>
      <c r="AC4" s="57">
        <v>0.46616505552547938</v>
      </c>
      <c r="AD4" s="84"/>
      <c r="AE4" t="s">
        <v>105</v>
      </c>
      <c r="AF4" t="s">
        <v>182</v>
      </c>
      <c r="AG4" t="s">
        <v>3</v>
      </c>
      <c r="AH4" t="s">
        <v>2</v>
      </c>
      <c r="AI4">
        <v>-0.239532693329012</v>
      </c>
      <c r="AJ4">
        <v>0.18715462313455999</v>
      </c>
      <c r="AK4" s="57">
        <v>0.432</v>
      </c>
      <c r="AL4">
        <v>-0.73883571103724999</v>
      </c>
      <c r="AM4">
        <v>0.25977032437942599</v>
      </c>
    </row>
    <row r="5" spans="1:40">
      <c r="A5" s="94"/>
      <c r="B5" s="52" t="s">
        <v>2</v>
      </c>
      <c r="C5" s="53">
        <v>0.2160002323874467</v>
      </c>
      <c r="D5" s="54">
        <v>5</v>
      </c>
      <c r="E5" s="55" t="s">
        <v>153</v>
      </c>
      <c r="F5" s="56">
        <v>0.9688216321480666</v>
      </c>
      <c r="G5" s="54">
        <v>5</v>
      </c>
      <c r="H5" s="57">
        <v>0.86763805998115417</v>
      </c>
      <c r="I5" s="42"/>
      <c r="J5" s="68" t="s">
        <v>107</v>
      </c>
      <c r="K5" s="71">
        <v>2.0513311128953782</v>
      </c>
      <c r="L5" s="70">
        <v>2</v>
      </c>
      <c r="M5" s="70">
        <v>12</v>
      </c>
      <c r="N5" s="57">
        <v>0.17127791890404603</v>
      </c>
      <c r="P5" s="101"/>
      <c r="Q5" s="77" t="s">
        <v>165</v>
      </c>
      <c r="R5" s="71">
        <v>1.1945275485329776</v>
      </c>
      <c r="S5" s="70">
        <v>14</v>
      </c>
      <c r="T5" s="79"/>
      <c r="U5" s="79"/>
      <c r="V5" s="57"/>
      <c r="X5" s="101" t="s">
        <v>106</v>
      </c>
      <c r="Y5" s="77" t="s">
        <v>166</v>
      </c>
      <c r="Z5" s="69">
        <v>0.75458942257327311</v>
      </c>
      <c r="AA5" s="70">
        <v>2</v>
      </c>
      <c r="AB5" s="80">
        <v>7.994243929668845</v>
      </c>
      <c r="AC5" s="57">
        <v>0.50096286209802632</v>
      </c>
      <c r="AD5" s="84"/>
      <c r="AH5" t="s">
        <v>1</v>
      </c>
      <c r="AI5">
        <v>-0.11056555678409</v>
      </c>
      <c r="AJ5">
        <v>0.18715462313455999</v>
      </c>
      <c r="AK5" s="57">
        <v>0.82799999999999996</v>
      </c>
      <c r="AL5">
        <v>-0.60986857449232801</v>
      </c>
      <c r="AM5">
        <v>0.38873746092434802</v>
      </c>
    </row>
    <row r="6" spans="1:40" ht="23">
      <c r="A6" s="94"/>
      <c r="B6" s="52" t="s">
        <v>1</v>
      </c>
      <c r="C6" s="53">
        <v>0.26015159905191548</v>
      </c>
      <c r="D6" s="54">
        <v>5</v>
      </c>
      <c r="E6" s="55" t="s">
        <v>153</v>
      </c>
      <c r="F6" s="56">
        <v>0.95025648583867561</v>
      </c>
      <c r="G6" s="54">
        <v>5</v>
      </c>
      <c r="H6" s="57">
        <v>0.73902084885742769</v>
      </c>
      <c r="I6" s="42"/>
      <c r="J6" s="68" t="s">
        <v>108</v>
      </c>
      <c r="K6" s="69">
        <v>0.15199403532993921</v>
      </c>
      <c r="L6" s="70">
        <v>2</v>
      </c>
      <c r="M6" s="70">
        <v>12</v>
      </c>
      <c r="N6" s="57">
        <v>0.86062125538471557</v>
      </c>
      <c r="P6" s="101" t="s">
        <v>106</v>
      </c>
      <c r="Q6" s="77" t="s">
        <v>163</v>
      </c>
      <c r="R6" s="71">
        <v>1.7683324453731135</v>
      </c>
      <c r="S6" s="70">
        <v>2</v>
      </c>
      <c r="T6" s="78">
        <v>0.88416622268655676</v>
      </c>
      <c r="U6" s="78">
        <v>0.79673519314213981</v>
      </c>
      <c r="V6" s="57">
        <v>0.47326610727409313</v>
      </c>
      <c r="X6" s="101"/>
      <c r="Y6" s="77" t="s">
        <v>167</v>
      </c>
      <c r="Z6" s="69">
        <v>0.79673519314213981</v>
      </c>
      <c r="AA6" s="70">
        <v>2</v>
      </c>
      <c r="AB6" s="80">
        <v>11.963524877966247</v>
      </c>
      <c r="AC6" s="57">
        <v>0.4733306786419138</v>
      </c>
      <c r="AD6" s="84"/>
      <c r="AG6" t="s">
        <v>2</v>
      </c>
      <c r="AH6" t="s">
        <v>3</v>
      </c>
      <c r="AI6">
        <v>0.239532693329012</v>
      </c>
      <c r="AJ6">
        <v>0.18715462313455999</v>
      </c>
      <c r="AK6" s="57">
        <v>0.432</v>
      </c>
      <c r="AL6">
        <v>-0.25977032437942599</v>
      </c>
      <c r="AM6">
        <v>0.73883571103724999</v>
      </c>
    </row>
    <row r="7" spans="1:40">
      <c r="A7" s="94" t="s">
        <v>106</v>
      </c>
      <c r="B7" s="52" t="s">
        <v>3</v>
      </c>
      <c r="C7" s="53">
        <v>0.223318410469729</v>
      </c>
      <c r="D7" s="54">
        <v>5</v>
      </c>
      <c r="E7" s="55" t="s">
        <v>153</v>
      </c>
      <c r="F7" s="56">
        <v>0.96201225491916276</v>
      </c>
      <c r="G7" s="54">
        <v>5</v>
      </c>
      <c r="H7" s="57">
        <v>0.82192192427024624</v>
      </c>
      <c r="I7" s="42"/>
      <c r="J7" s="68" t="s">
        <v>109</v>
      </c>
      <c r="K7" s="69">
        <v>0.60217588299623248</v>
      </c>
      <c r="L7" s="70">
        <v>2</v>
      </c>
      <c r="M7" s="70">
        <v>12</v>
      </c>
      <c r="N7" s="57">
        <v>0.56335864528526547</v>
      </c>
      <c r="P7" s="101"/>
      <c r="Q7" s="77" t="s">
        <v>164</v>
      </c>
      <c r="R7" s="71">
        <v>13.316839476357645</v>
      </c>
      <c r="S7" s="70">
        <v>12</v>
      </c>
      <c r="T7" s="80">
        <v>1.1097366230298038</v>
      </c>
      <c r="U7" s="79"/>
      <c r="V7" s="57"/>
      <c r="X7" s="101" t="s">
        <v>107</v>
      </c>
      <c r="Y7" s="77" t="s">
        <v>166</v>
      </c>
      <c r="Z7" s="71">
        <v>6.0413075529697329</v>
      </c>
      <c r="AA7" s="70">
        <v>2</v>
      </c>
      <c r="AB7" s="80">
        <v>7.3894537886885638</v>
      </c>
      <c r="AC7" s="57">
        <v>2.7877884203181168E-2</v>
      </c>
      <c r="AD7" s="84"/>
      <c r="AH7" t="s">
        <v>1</v>
      </c>
      <c r="AI7">
        <v>0.12896713654502201</v>
      </c>
      <c r="AJ7">
        <v>0.18715462313455999</v>
      </c>
      <c r="AK7" s="57">
        <v>0.77400000000000002</v>
      </c>
      <c r="AL7">
        <v>-0.37033588116341598</v>
      </c>
      <c r="AM7">
        <v>0.62827015425326005</v>
      </c>
    </row>
    <row r="8" spans="1:40" ht="23">
      <c r="A8" s="94"/>
      <c r="B8" s="52" t="s">
        <v>2</v>
      </c>
      <c r="C8" s="53">
        <v>0.24381495238412176</v>
      </c>
      <c r="D8" s="54">
        <v>5</v>
      </c>
      <c r="E8" s="55" t="s">
        <v>153</v>
      </c>
      <c r="F8" s="56">
        <v>0.91911102293486813</v>
      </c>
      <c r="G8" s="54">
        <v>5</v>
      </c>
      <c r="H8" s="57">
        <v>0.52422106427719095</v>
      </c>
      <c r="I8" s="42"/>
      <c r="J8" s="68" t="s">
        <v>110</v>
      </c>
      <c r="K8" s="71">
        <v>1.8172240227060834</v>
      </c>
      <c r="L8" s="70">
        <v>2</v>
      </c>
      <c r="M8" s="70">
        <v>12</v>
      </c>
      <c r="N8" s="57">
        <v>0.20445237248830003</v>
      </c>
      <c r="P8" s="101"/>
      <c r="Q8" s="77" t="s">
        <v>165</v>
      </c>
      <c r="R8" s="71">
        <v>15.085171921730758</v>
      </c>
      <c r="S8" s="70">
        <v>14</v>
      </c>
      <c r="T8" s="79"/>
      <c r="U8" s="79"/>
      <c r="V8" s="57"/>
      <c r="X8" s="101"/>
      <c r="Y8" s="77" t="s">
        <v>167</v>
      </c>
      <c r="Z8" s="71">
        <v>4.272911682264608</v>
      </c>
      <c r="AA8" s="70">
        <v>2</v>
      </c>
      <c r="AB8" s="80">
        <v>8.8683232787939072</v>
      </c>
      <c r="AC8" s="57">
        <v>5.0178950026628331E-2</v>
      </c>
      <c r="AD8" s="84"/>
      <c r="AG8" t="s">
        <v>1</v>
      </c>
      <c r="AH8" t="s">
        <v>3</v>
      </c>
      <c r="AI8">
        <v>0.11056555678409</v>
      </c>
      <c r="AJ8">
        <v>0.18715462313455999</v>
      </c>
      <c r="AK8" s="57">
        <v>0.82799999999999996</v>
      </c>
      <c r="AL8">
        <v>-0.38873746092434802</v>
      </c>
      <c r="AM8">
        <v>0.60986857449232801</v>
      </c>
    </row>
    <row r="9" spans="1:40">
      <c r="A9" s="94"/>
      <c r="B9" s="52" t="s">
        <v>1</v>
      </c>
      <c r="C9" s="53">
        <v>0.22912528541224386</v>
      </c>
      <c r="D9" s="54">
        <v>5</v>
      </c>
      <c r="E9" s="55" t="s">
        <v>153</v>
      </c>
      <c r="F9" s="56">
        <v>0.88935763951605351</v>
      </c>
      <c r="G9" s="54">
        <v>5</v>
      </c>
      <c r="H9" s="57">
        <v>0.3538834514993679</v>
      </c>
      <c r="I9" s="42"/>
      <c r="J9" s="68" t="s">
        <v>111</v>
      </c>
      <c r="K9" s="69">
        <v>3.7823718534966272E-2</v>
      </c>
      <c r="L9" s="70">
        <v>2</v>
      </c>
      <c r="M9" s="70">
        <v>12</v>
      </c>
      <c r="N9" s="57">
        <v>0.96299698527901456</v>
      </c>
      <c r="P9" s="101" t="s">
        <v>107</v>
      </c>
      <c r="Q9" s="77" t="s">
        <v>163</v>
      </c>
      <c r="R9" s="69">
        <v>7.4151160093065237E-3</v>
      </c>
      <c r="S9" s="70">
        <v>2</v>
      </c>
      <c r="T9" s="78">
        <v>3.7075580046532618E-3</v>
      </c>
      <c r="U9" s="80">
        <v>4.272911682264608</v>
      </c>
      <c r="V9" s="57">
        <v>3.9695947786242081E-2</v>
      </c>
      <c r="X9" s="101" t="s">
        <v>108</v>
      </c>
      <c r="Y9" s="77" t="s">
        <v>166</v>
      </c>
      <c r="Z9" s="71">
        <v>2.650846445844349</v>
      </c>
      <c r="AA9" s="70">
        <v>2</v>
      </c>
      <c r="AB9" s="80">
        <v>7.6271482350856852</v>
      </c>
      <c r="AC9" s="57">
        <v>0.13364068190782807</v>
      </c>
      <c r="AD9" s="84"/>
      <c r="AH9" t="s">
        <v>2</v>
      </c>
      <c r="AI9">
        <v>-0.12896713654502201</v>
      </c>
      <c r="AJ9">
        <v>0.18715462313455999</v>
      </c>
      <c r="AK9" s="57">
        <v>0.77400000000000002</v>
      </c>
      <c r="AL9">
        <v>-0.62827015425326005</v>
      </c>
      <c r="AM9">
        <v>0.37033588116341598</v>
      </c>
    </row>
    <row r="10" spans="1:40" ht="23">
      <c r="A10" s="94" t="s">
        <v>107</v>
      </c>
      <c r="B10" s="52" t="s">
        <v>3</v>
      </c>
      <c r="C10" s="53">
        <v>0.23538953825303799</v>
      </c>
      <c r="D10" s="54">
        <v>5</v>
      </c>
      <c r="E10" s="55" t="s">
        <v>153</v>
      </c>
      <c r="F10" s="56">
        <v>0.89762171739632701</v>
      </c>
      <c r="G10" s="54">
        <v>5</v>
      </c>
      <c r="H10" s="57">
        <v>0.39688072608574582</v>
      </c>
      <c r="I10" s="42"/>
      <c r="J10" s="68" t="s">
        <v>112</v>
      </c>
      <c r="K10" s="71">
        <v>1.4760768856634094</v>
      </c>
      <c r="L10" s="70">
        <v>2</v>
      </c>
      <c r="M10" s="70">
        <v>12</v>
      </c>
      <c r="N10" s="57">
        <v>0.26721753142161248</v>
      </c>
      <c r="P10" s="101"/>
      <c r="Q10" s="77" t="s">
        <v>164</v>
      </c>
      <c r="R10" s="69">
        <v>1.0412266708086846E-2</v>
      </c>
      <c r="S10" s="70">
        <v>12</v>
      </c>
      <c r="T10" s="78">
        <v>8.676888923405705E-4</v>
      </c>
      <c r="U10" s="79"/>
      <c r="V10" s="57"/>
      <c r="X10" s="101"/>
      <c r="Y10" s="77" t="s">
        <v>167</v>
      </c>
      <c r="Z10" s="71">
        <v>3.4479968555167404</v>
      </c>
      <c r="AA10" s="70">
        <v>2</v>
      </c>
      <c r="AB10" s="80">
        <v>10.2009336231158</v>
      </c>
      <c r="AC10" s="57">
        <v>7.1792118484920286E-2</v>
      </c>
      <c r="AD10" s="84"/>
      <c r="AF10" t="s">
        <v>183</v>
      </c>
      <c r="AG10" t="s">
        <v>3</v>
      </c>
      <c r="AH10" t="s">
        <v>2</v>
      </c>
      <c r="AI10">
        <v>-0.239532693329012</v>
      </c>
      <c r="AJ10">
        <v>0.19728848724790601</v>
      </c>
      <c r="AK10" s="57">
        <v>0.6</v>
      </c>
      <c r="AL10">
        <v>-0.85126154908729101</v>
      </c>
      <c r="AM10">
        <v>0.37219616242946801</v>
      </c>
    </row>
    <row r="11" spans="1:40">
      <c r="A11" s="94"/>
      <c r="B11" s="52" t="s">
        <v>2</v>
      </c>
      <c r="C11" s="53">
        <v>0.33219527988391007</v>
      </c>
      <c r="D11" s="54">
        <v>5</v>
      </c>
      <c r="E11" s="56">
        <v>7.4637267883105263E-2</v>
      </c>
      <c r="F11" s="56">
        <v>0.81095821734209994</v>
      </c>
      <c r="G11" s="54">
        <v>5</v>
      </c>
      <c r="H11" s="57">
        <v>9.9236542599994051E-2</v>
      </c>
      <c r="I11" s="42"/>
      <c r="J11" s="68" t="s">
        <v>113</v>
      </c>
      <c r="K11" s="71">
        <v>2.2954387663759386</v>
      </c>
      <c r="L11" s="70">
        <v>2</v>
      </c>
      <c r="M11" s="70">
        <v>12</v>
      </c>
      <c r="N11" s="57">
        <v>0.14317636459440458</v>
      </c>
      <c r="P11" s="101"/>
      <c r="Q11" s="77" t="s">
        <v>165</v>
      </c>
      <c r="R11" s="69">
        <v>1.782738271739337E-2</v>
      </c>
      <c r="S11" s="70">
        <v>14</v>
      </c>
      <c r="T11" s="79"/>
      <c r="U11" s="79"/>
      <c r="V11" s="57"/>
      <c r="X11" s="101" t="s">
        <v>109</v>
      </c>
      <c r="Y11" s="77" t="s">
        <v>166</v>
      </c>
      <c r="Z11" s="71">
        <v>1.4128530048426557</v>
      </c>
      <c r="AA11" s="70">
        <v>2</v>
      </c>
      <c r="AB11" s="80">
        <v>7.924430511603469</v>
      </c>
      <c r="AC11" s="57">
        <v>0.29869005485939421</v>
      </c>
      <c r="AD11" s="84"/>
      <c r="AH11" t="s">
        <v>1</v>
      </c>
      <c r="AI11">
        <v>-0.11056555678409</v>
      </c>
      <c r="AJ11">
        <v>0.16191317780442899</v>
      </c>
      <c r="AK11" s="57">
        <v>0.88500000000000001</v>
      </c>
      <c r="AL11">
        <v>-0.59723416921725103</v>
      </c>
      <c r="AM11">
        <v>0.37610305564927099</v>
      </c>
    </row>
    <row r="12" spans="1:40" ht="23">
      <c r="A12" s="94"/>
      <c r="B12" s="52" t="s">
        <v>1</v>
      </c>
      <c r="C12" s="53">
        <v>0.16229595282191756</v>
      </c>
      <c r="D12" s="54">
        <v>5</v>
      </c>
      <c r="E12" s="55" t="s">
        <v>153</v>
      </c>
      <c r="F12" s="56">
        <v>0.98400736998973592</v>
      </c>
      <c r="G12" s="54">
        <v>5</v>
      </c>
      <c r="H12" s="57">
        <v>0.95485020200427839</v>
      </c>
      <c r="I12" s="42"/>
      <c r="J12" s="68" t="s">
        <v>114</v>
      </c>
      <c r="K12" s="71">
        <v>1.170473812456549</v>
      </c>
      <c r="L12" s="70">
        <v>2</v>
      </c>
      <c r="M12" s="70">
        <v>12</v>
      </c>
      <c r="N12" s="57">
        <v>0.34325777104617039</v>
      </c>
      <c r="P12" s="101" t="s">
        <v>108</v>
      </c>
      <c r="Q12" s="77" t="s">
        <v>163</v>
      </c>
      <c r="R12" s="71">
        <v>16.487794580804369</v>
      </c>
      <c r="S12" s="70">
        <v>2</v>
      </c>
      <c r="T12" s="80">
        <v>8.2438972904021846</v>
      </c>
      <c r="U12" s="80">
        <v>3.4479968555167408</v>
      </c>
      <c r="V12" s="57">
        <v>6.5594747090265471E-2</v>
      </c>
      <c r="X12" s="101"/>
      <c r="Y12" s="77" t="s">
        <v>167</v>
      </c>
      <c r="Z12" s="71">
        <v>1.7158763883407246</v>
      </c>
      <c r="AA12" s="70">
        <v>2</v>
      </c>
      <c r="AB12" s="80">
        <v>11.425764997846047</v>
      </c>
      <c r="AC12" s="57">
        <v>0.22304016321307243</v>
      </c>
      <c r="AD12" s="84"/>
      <c r="AG12" t="s">
        <v>2</v>
      </c>
      <c r="AH12" t="s">
        <v>3</v>
      </c>
      <c r="AI12">
        <v>0.239532693329012</v>
      </c>
      <c r="AJ12">
        <v>0.19728848724790601</v>
      </c>
      <c r="AK12" s="57">
        <v>0.6</v>
      </c>
      <c r="AL12">
        <v>-0.37219616242946801</v>
      </c>
      <c r="AM12">
        <v>0.85126154908729101</v>
      </c>
    </row>
    <row r="13" spans="1:40">
      <c r="A13" s="94" t="s">
        <v>108</v>
      </c>
      <c r="B13" s="52" t="s">
        <v>3</v>
      </c>
      <c r="C13" s="53">
        <v>0.27091026349566827</v>
      </c>
      <c r="D13" s="54">
        <v>5</v>
      </c>
      <c r="E13" s="55" t="s">
        <v>153</v>
      </c>
      <c r="F13" s="56">
        <v>0.9282898359450904</v>
      </c>
      <c r="G13" s="54">
        <v>5</v>
      </c>
      <c r="H13" s="57">
        <v>0.58475561213236826</v>
      </c>
      <c r="I13" s="42"/>
      <c r="J13" s="68" t="s">
        <v>115</v>
      </c>
      <c r="K13" s="69">
        <v>0.20031380136268653</v>
      </c>
      <c r="L13" s="70">
        <v>2</v>
      </c>
      <c r="M13" s="70">
        <v>12</v>
      </c>
      <c r="N13" s="57">
        <v>0.82115564477476188</v>
      </c>
      <c r="P13" s="101"/>
      <c r="Q13" s="77" t="s">
        <v>164</v>
      </c>
      <c r="R13" s="71">
        <v>28.691084020724944</v>
      </c>
      <c r="S13" s="70">
        <v>12</v>
      </c>
      <c r="T13" s="80">
        <v>2.3909236683937451</v>
      </c>
      <c r="U13" s="79"/>
      <c r="V13" s="57"/>
      <c r="X13" s="101" t="s">
        <v>110</v>
      </c>
      <c r="Y13" s="77" t="s">
        <v>166</v>
      </c>
      <c r="Z13" s="71">
        <v>1.3007256921909154</v>
      </c>
      <c r="AA13" s="70">
        <v>2</v>
      </c>
      <c r="AB13" s="80">
        <v>6.9590465088380045</v>
      </c>
      <c r="AC13" s="57">
        <v>0.33118196173540571</v>
      </c>
      <c r="AD13" s="84"/>
      <c r="AH13" t="s">
        <v>1</v>
      </c>
      <c r="AI13">
        <v>0.12896713654502201</v>
      </c>
      <c r="AJ13">
        <v>0.19985478361705999</v>
      </c>
      <c r="AK13" s="57">
        <v>0.90200000000000002</v>
      </c>
      <c r="AL13">
        <v>-0.48706805235936201</v>
      </c>
      <c r="AM13">
        <v>0.74500232544920597</v>
      </c>
    </row>
    <row r="14" spans="1:40" ht="23">
      <c r="A14" s="94"/>
      <c r="B14" s="52" t="s">
        <v>2</v>
      </c>
      <c r="C14" s="53">
        <v>0.30485617076992244</v>
      </c>
      <c r="D14" s="54">
        <v>5</v>
      </c>
      <c r="E14" s="56">
        <v>0.14497868127117819</v>
      </c>
      <c r="F14" s="56">
        <v>0.77536012098964546</v>
      </c>
      <c r="G14" s="54">
        <v>5</v>
      </c>
      <c r="H14" s="57">
        <v>5.0261206339071066E-2</v>
      </c>
      <c r="I14" s="42"/>
      <c r="J14" s="68" t="s">
        <v>116</v>
      </c>
      <c r="K14" s="71">
        <v>2.1318875757567941</v>
      </c>
      <c r="L14" s="70">
        <v>2</v>
      </c>
      <c r="M14" s="70">
        <v>12</v>
      </c>
      <c r="N14" s="57">
        <v>0.16134641021939919</v>
      </c>
      <c r="P14" s="101"/>
      <c r="Q14" s="77" t="s">
        <v>165</v>
      </c>
      <c r="R14" s="71">
        <v>45.178878601529313</v>
      </c>
      <c r="S14" s="70">
        <v>14</v>
      </c>
      <c r="T14" s="79"/>
      <c r="U14" s="79"/>
      <c r="V14" s="57"/>
      <c r="X14" s="101"/>
      <c r="Y14" s="77" t="s">
        <v>167</v>
      </c>
      <c r="Z14" s="71">
        <v>1.5444761358959425</v>
      </c>
      <c r="AA14" s="70">
        <v>2</v>
      </c>
      <c r="AB14" s="80">
        <v>8.6288445796328848</v>
      </c>
      <c r="AC14" s="57">
        <v>0.2670804550206507</v>
      </c>
      <c r="AD14" s="84"/>
      <c r="AG14" t="s">
        <v>1</v>
      </c>
      <c r="AH14" t="s">
        <v>3</v>
      </c>
      <c r="AI14">
        <v>0.11056555678409</v>
      </c>
      <c r="AJ14">
        <v>0.16191317780442899</v>
      </c>
      <c r="AK14" s="57">
        <v>0.88500000000000001</v>
      </c>
      <c r="AL14">
        <v>-0.37610305564927099</v>
      </c>
      <c r="AM14">
        <v>0.59723416921725103</v>
      </c>
    </row>
    <row r="15" spans="1:40">
      <c r="A15" s="94"/>
      <c r="B15" s="52" t="s">
        <v>1</v>
      </c>
      <c r="C15" s="53">
        <v>0.24776325602742644</v>
      </c>
      <c r="D15" s="54">
        <v>5</v>
      </c>
      <c r="E15" s="55" t="s">
        <v>153</v>
      </c>
      <c r="F15" s="56">
        <v>0.93414130585171096</v>
      </c>
      <c r="G15" s="54">
        <v>5</v>
      </c>
      <c r="H15" s="57">
        <v>0.62487004934535506</v>
      </c>
      <c r="I15" s="42"/>
      <c r="J15" s="68" t="s">
        <v>117</v>
      </c>
      <c r="K15" s="69">
        <v>0.50470590137845384</v>
      </c>
      <c r="L15" s="70">
        <v>2</v>
      </c>
      <c r="M15" s="70">
        <v>12</v>
      </c>
      <c r="N15" s="57">
        <v>0.61594439751166541</v>
      </c>
      <c r="P15" s="101" t="s">
        <v>109</v>
      </c>
      <c r="Q15" s="77" t="s">
        <v>163</v>
      </c>
      <c r="R15" s="71">
        <v>16.227425817739164</v>
      </c>
      <c r="S15" s="70">
        <v>2</v>
      </c>
      <c r="T15" s="80">
        <v>8.1137129088695819</v>
      </c>
      <c r="U15" s="80">
        <v>1.7158763883407249</v>
      </c>
      <c r="V15" s="57">
        <v>0.22110366101241036</v>
      </c>
      <c r="X15" s="101" t="s">
        <v>111</v>
      </c>
      <c r="Y15" s="77" t="s">
        <v>166</v>
      </c>
      <c r="Z15" s="69">
        <v>0.95934364901277269</v>
      </c>
      <c r="AA15" s="70">
        <v>2</v>
      </c>
      <c r="AB15" s="80">
        <v>7.8315550186239271</v>
      </c>
      <c r="AC15" s="57">
        <v>0.42398023656417516</v>
      </c>
      <c r="AD15" s="84"/>
      <c r="AH15" t="s">
        <v>2</v>
      </c>
      <c r="AI15">
        <v>-0.12896713654502201</v>
      </c>
      <c r="AJ15">
        <v>0.19985478361705999</v>
      </c>
      <c r="AK15" s="57">
        <v>0.90200000000000002</v>
      </c>
      <c r="AL15">
        <v>-0.74500232544920597</v>
      </c>
      <c r="AM15">
        <v>0.48706805235936201</v>
      </c>
    </row>
    <row r="16" spans="1:40" ht="23">
      <c r="A16" s="94" t="s">
        <v>109</v>
      </c>
      <c r="B16" s="52" t="s">
        <v>3</v>
      </c>
      <c r="C16" s="53">
        <v>0.21954644371932108</v>
      </c>
      <c r="D16" s="54">
        <v>5</v>
      </c>
      <c r="E16" s="55" t="s">
        <v>153</v>
      </c>
      <c r="F16" s="56">
        <v>0.89111455173555032</v>
      </c>
      <c r="G16" s="54">
        <v>5</v>
      </c>
      <c r="H16" s="57">
        <v>0.36273868546189536</v>
      </c>
      <c r="I16" s="42"/>
      <c r="J16" s="68" t="s">
        <v>118</v>
      </c>
      <c r="K16" s="71">
        <v>3.4556978028986931</v>
      </c>
      <c r="L16" s="70">
        <v>2</v>
      </c>
      <c r="M16" s="70">
        <v>12</v>
      </c>
      <c r="N16" s="57">
        <v>6.527486737939206E-2</v>
      </c>
      <c r="P16" s="101"/>
      <c r="Q16" s="77" t="s">
        <v>164</v>
      </c>
      <c r="R16" s="71">
        <v>56.74333860412159</v>
      </c>
      <c r="S16" s="70">
        <v>12</v>
      </c>
      <c r="T16" s="80">
        <v>4.7286115503434658</v>
      </c>
      <c r="U16" s="79"/>
      <c r="V16" s="57"/>
      <c r="X16" s="101"/>
      <c r="Y16" s="77" t="s">
        <v>167</v>
      </c>
      <c r="Z16" s="69">
        <v>0.9654241450843023</v>
      </c>
      <c r="AA16" s="70">
        <v>2</v>
      </c>
      <c r="AB16" s="80">
        <v>11.331220109554224</v>
      </c>
      <c r="AC16" s="57">
        <v>0.41005571878803859</v>
      </c>
      <c r="AD16" s="84"/>
      <c r="AF16" t="s">
        <v>184</v>
      </c>
      <c r="AG16" t="s">
        <v>3</v>
      </c>
      <c r="AH16" t="s">
        <v>2</v>
      </c>
      <c r="AI16">
        <v>-0.239532693329012</v>
      </c>
      <c r="AJ16">
        <v>0.19728848724790601</v>
      </c>
      <c r="AK16" s="57">
        <v>0.56699999999999995</v>
      </c>
      <c r="AL16">
        <v>-0.83980283002908296</v>
      </c>
      <c r="AM16">
        <v>0.36073744337126001</v>
      </c>
    </row>
    <row r="17" spans="1:39">
      <c r="A17" s="94"/>
      <c r="B17" s="52" t="s">
        <v>2</v>
      </c>
      <c r="C17" s="53">
        <v>0.34744115508937629</v>
      </c>
      <c r="D17" s="54">
        <v>5</v>
      </c>
      <c r="E17" s="56">
        <v>4.8169129716891149E-2</v>
      </c>
      <c r="F17" s="56">
        <v>0.79476213981475763</v>
      </c>
      <c r="G17" s="54">
        <v>5</v>
      </c>
      <c r="H17" s="57">
        <v>7.3397974224682416E-2</v>
      </c>
      <c r="I17" s="42"/>
      <c r="J17" s="68" t="s">
        <v>119</v>
      </c>
      <c r="K17" s="69">
        <v>0.94072742587073366</v>
      </c>
      <c r="L17" s="70">
        <v>2</v>
      </c>
      <c r="M17" s="70">
        <v>12</v>
      </c>
      <c r="N17" s="57">
        <v>0.41732804106108923</v>
      </c>
      <c r="P17" s="101"/>
      <c r="Q17" s="77" t="s">
        <v>165</v>
      </c>
      <c r="R17" s="71">
        <v>72.97076442186075</v>
      </c>
      <c r="S17" s="70">
        <v>14</v>
      </c>
      <c r="T17" s="79"/>
      <c r="U17" s="79"/>
      <c r="V17" s="57"/>
      <c r="X17" s="101" t="s">
        <v>112</v>
      </c>
      <c r="Y17" s="77" t="s">
        <v>166</v>
      </c>
      <c r="Z17" s="69">
        <v>0.54356837116982071</v>
      </c>
      <c r="AA17" s="70">
        <v>2</v>
      </c>
      <c r="AB17" s="80">
        <v>6.4427932097332539</v>
      </c>
      <c r="AC17" s="57">
        <v>0.60514229954062582</v>
      </c>
      <c r="AD17" s="84"/>
      <c r="AH17" t="s">
        <v>1</v>
      </c>
      <c r="AI17">
        <v>-0.11056555678409</v>
      </c>
      <c r="AJ17">
        <v>0.16191317780442899</v>
      </c>
      <c r="AK17" s="57">
        <v>0.86899999999999999</v>
      </c>
      <c r="AL17">
        <v>-0.58966938917265499</v>
      </c>
      <c r="AM17">
        <v>0.368538275604675</v>
      </c>
    </row>
    <row r="18" spans="1:39" ht="23">
      <c r="A18" s="94"/>
      <c r="B18" s="52" t="s">
        <v>1</v>
      </c>
      <c r="C18" s="53">
        <v>0.25145268632667056</v>
      </c>
      <c r="D18" s="54">
        <v>5</v>
      </c>
      <c r="E18" s="55" t="s">
        <v>153</v>
      </c>
      <c r="F18" s="56">
        <v>0.89587971500591057</v>
      </c>
      <c r="G18" s="54">
        <v>5</v>
      </c>
      <c r="H18" s="57">
        <v>0.38753350553649979</v>
      </c>
      <c r="I18" s="42"/>
      <c r="J18" s="68" t="s">
        <v>120</v>
      </c>
      <c r="K18" s="71">
        <v>2.3177483418750833</v>
      </c>
      <c r="L18" s="70">
        <v>2</v>
      </c>
      <c r="M18" s="70">
        <v>12</v>
      </c>
      <c r="N18" s="57">
        <v>0.14088762362393847</v>
      </c>
      <c r="P18" s="101" t="s">
        <v>110</v>
      </c>
      <c r="Q18" s="77" t="s">
        <v>163</v>
      </c>
      <c r="R18" s="69">
        <v>2.8024810497598363E-2</v>
      </c>
      <c r="S18" s="70">
        <v>2</v>
      </c>
      <c r="T18" s="78">
        <v>1.4012405248799181E-2</v>
      </c>
      <c r="U18" s="80">
        <v>1.5444761358959429</v>
      </c>
      <c r="V18" s="57">
        <v>0.25300725070439167</v>
      </c>
      <c r="X18" s="101"/>
      <c r="Y18" s="77" t="s">
        <v>167</v>
      </c>
      <c r="Z18" s="69">
        <v>0.35117811342563304</v>
      </c>
      <c r="AA18" s="70">
        <v>2</v>
      </c>
      <c r="AB18" s="80">
        <v>8.9054396479544806</v>
      </c>
      <c r="AC18" s="57">
        <v>0.71318292928478688</v>
      </c>
      <c r="AD18" s="84"/>
      <c r="AG18" t="s">
        <v>2</v>
      </c>
      <c r="AH18" t="s">
        <v>3</v>
      </c>
      <c r="AI18">
        <v>0.239532693329012</v>
      </c>
      <c r="AJ18">
        <v>0.19728848724790601</v>
      </c>
      <c r="AK18" s="57">
        <v>0.56699999999999995</v>
      </c>
      <c r="AL18">
        <v>-0.36073744337126001</v>
      </c>
      <c r="AM18">
        <v>0.83980283002908296</v>
      </c>
    </row>
    <row r="19" spans="1:39">
      <c r="A19" s="94" t="s">
        <v>110</v>
      </c>
      <c r="B19" s="52" t="s">
        <v>3</v>
      </c>
      <c r="C19" s="53">
        <v>0.20650578052548807</v>
      </c>
      <c r="D19" s="54">
        <v>5</v>
      </c>
      <c r="E19" s="55" t="s">
        <v>153</v>
      </c>
      <c r="F19" s="56">
        <v>0.91981803882304913</v>
      </c>
      <c r="G19" s="54">
        <v>5</v>
      </c>
      <c r="H19" s="57">
        <v>0.52876651226590166</v>
      </c>
      <c r="I19" s="42"/>
      <c r="J19" s="68" t="s">
        <v>121</v>
      </c>
      <c r="K19" s="71">
        <v>2.0203013517224591</v>
      </c>
      <c r="L19" s="70">
        <v>2</v>
      </c>
      <c r="M19" s="70">
        <v>12</v>
      </c>
      <c r="N19" s="57">
        <v>0.17529251927101125</v>
      </c>
      <c r="P19" s="101"/>
      <c r="Q19" s="77" t="s">
        <v>164</v>
      </c>
      <c r="R19" s="69">
        <v>0.10887113052611064</v>
      </c>
      <c r="S19" s="70">
        <v>12</v>
      </c>
      <c r="T19" s="78">
        <v>9.0725942105092192E-3</v>
      </c>
      <c r="U19" s="79"/>
      <c r="V19" s="57"/>
      <c r="X19" s="101" t="s">
        <v>113</v>
      </c>
      <c r="Y19" s="77" t="s">
        <v>166</v>
      </c>
      <c r="Z19" s="69">
        <v>0.26056614108284154</v>
      </c>
      <c r="AA19" s="70">
        <v>2</v>
      </c>
      <c r="AB19" s="80">
        <v>7.172596801957539</v>
      </c>
      <c r="AC19" s="57">
        <v>0.77760610245572559</v>
      </c>
      <c r="AD19" s="84"/>
      <c r="AH19" t="s">
        <v>1</v>
      </c>
      <c r="AI19">
        <v>0.12896713654502201</v>
      </c>
      <c r="AJ19">
        <v>0.19985478361705999</v>
      </c>
      <c r="AK19" s="57">
        <v>0.88600000000000001</v>
      </c>
      <c r="AL19">
        <v>-0.47591244775552499</v>
      </c>
      <c r="AM19">
        <v>0.73384672084536895</v>
      </c>
    </row>
    <row r="20" spans="1:39" ht="23">
      <c r="A20" s="94"/>
      <c r="B20" s="52" t="s">
        <v>2</v>
      </c>
      <c r="C20" s="53">
        <v>0.23294316477458643</v>
      </c>
      <c r="D20" s="54">
        <v>5</v>
      </c>
      <c r="E20" s="55" t="s">
        <v>153</v>
      </c>
      <c r="F20" s="56">
        <v>0.953998676082916</v>
      </c>
      <c r="G20" s="54">
        <v>5</v>
      </c>
      <c r="H20" s="57">
        <v>0.76569937871675253</v>
      </c>
      <c r="I20" s="42"/>
      <c r="J20" s="68" t="s">
        <v>122</v>
      </c>
      <c r="K20" s="71">
        <v>3.684973709045952</v>
      </c>
      <c r="L20" s="70">
        <v>2</v>
      </c>
      <c r="M20" s="70">
        <v>12</v>
      </c>
      <c r="N20" s="57">
        <v>5.6534925682782976E-2</v>
      </c>
      <c r="P20" s="101"/>
      <c r="Q20" s="77" t="s">
        <v>165</v>
      </c>
      <c r="R20" s="69">
        <v>0.136895941023709</v>
      </c>
      <c r="S20" s="70">
        <v>14</v>
      </c>
      <c r="T20" s="79"/>
      <c r="U20" s="79"/>
      <c r="V20" s="57"/>
      <c r="X20" s="101"/>
      <c r="Y20" s="77" t="s">
        <v>167</v>
      </c>
      <c r="Z20" s="69">
        <v>0.34974551447459307</v>
      </c>
      <c r="AA20" s="70">
        <v>2</v>
      </c>
      <c r="AB20" s="80">
        <v>5.8091369812009583</v>
      </c>
      <c r="AC20" s="57">
        <v>0.71875139523208009</v>
      </c>
      <c r="AD20" s="84"/>
      <c r="AG20" t="s">
        <v>1</v>
      </c>
      <c r="AH20" t="s">
        <v>3</v>
      </c>
      <c r="AI20">
        <v>0.11056555678409</v>
      </c>
      <c r="AJ20">
        <v>0.16191317780442899</v>
      </c>
      <c r="AK20" s="57">
        <v>0.86899999999999999</v>
      </c>
      <c r="AL20">
        <v>-0.368538275604675</v>
      </c>
      <c r="AM20">
        <v>0.58966938917265499</v>
      </c>
    </row>
    <row r="21" spans="1:39">
      <c r="A21" s="94"/>
      <c r="B21" s="52" t="s">
        <v>1</v>
      </c>
      <c r="C21" s="53">
        <v>0.15135953715087336</v>
      </c>
      <c r="D21" s="54">
        <v>5</v>
      </c>
      <c r="E21" s="55" t="s">
        <v>153</v>
      </c>
      <c r="F21" s="56">
        <v>0.98554763462433181</v>
      </c>
      <c r="G21" s="54">
        <v>5</v>
      </c>
      <c r="H21" s="57">
        <v>0.96191560050201053</v>
      </c>
      <c r="I21" s="42"/>
      <c r="J21" s="68" t="s">
        <v>123</v>
      </c>
      <c r="K21" s="71">
        <v>13.296564011830828</v>
      </c>
      <c r="L21" s="70">
        <v>2</v>
      </c>
      <c r="M21" s="70">
        <v>12</v>
      </c>
      <c r="N21" s="57">
        <v>9.0370689426865945E-4</v>
      </c>
      <c r="P21" s="101" t="s">
        <v>111</v>
      </c>
      <c r="Q21" s="77" t="s">
        <v>163</v>
      </c>
      <c r="R21" s="69">
        <v>0.50331362245689526</v>
      </c>
      <c r="S21" s="70">
        <v>2</v>
      </c>
      <c r="T21" s="78">
        <v>0.25165681122844763</v>
      </c>
      <c r="U21" s="78">
        <v>0.96542414508430252</v>
      </c>
      <c r="V21" s="57">
        <v>0.40852825608722276</v>
      </c>
      <c r="X21" s="101" t="s">
        <v>114</v>
      </c>
      <c r="Y21" s="77" t="s">
        <v>166</v>
      </c>
      <c r="Z21" s="71">
        <v>1.3658172699798381</v>
      </c>
      <c r="AA21" s="70">
        <v>2</v>
      </c>
      <c r="AB21" s="80">
        <v>6.8808667238520522</v>
      </c>
      <c r="AC21" s="57">
        <v>0.31657181855703859</v>
      </c>
      <c r="AD21" s="84"/>
      <c r="AH21" t="s">
        <v>2</v>
      </c>
      <c r="AI21">
        <v>-0.12896713654502201</v>
      </c>
      <c r="AJ21">
        <v>0.19985478361705999</v>
      </c>
      <c r="AK21" s="57">
        <v>0.88600000000000001</v>
      </c>
      <c r="AL21">
        <v>-0.73384672084536895</v>
      </c>
      <c r="AM21">
        <v>0.47591244775552499</v>
      </c>
    </row>
    <row r="22" spans="1:39" ht="23">
      <c r="A22" s="94" t="s">
        <v>111</v>
      </c>
      <c r="B22" s="52" t="s">
        <v>3</v>
      </c>
      <c r="C22" s="53">
        <v>0.29955505160594553</v>
      </c>
      <c r="D22" s="54">
        <v>5</v>
      </c>
      <c r="E22" s="56">
        <v>0.16230338712162304</v>
      </c>
      <c r="F22" s="56">
        <v>0.80159612725296281</v>
      </c>
      <c r="G22" s="54">
        <v>5</v>
      </c>
      <c r="H22" s="57">
        <v>8.3492910391100364E-2</v>
      </c>
      <c r="I22" s="42"/>
      <c r="J22" s="68" t="s">
        <v>124</v>
      </c>
      <c r="K22" s="71">
        <v>4.3053493960293121</v>
      </c>
      <c r="L22" s="70">
        <v>2</v>
      </c>
      <c r="M22" s="70">
        <v>12</v>
      </c>
      <c r="N22" s="57">
        <v>3.8952126981798153E-2</v>
      </c>
      <c r="P22" s="101"/>
      <c r="Q22" s="77" t="s">
        <v>164</v>
      </c>
      <c r="R22" s="71">
        <v>3.1280362627326568</v>
      </c>
      <c r="S22" s="70">
        <v>12</v>
      </c>
      <c r="T22" s="78">
        <v>0.26066968856105471</v>
      </c>
      <c r="U22" s="79"/>
      <c r="V22" s="57"/>
      <c r="X22" s="101"/>
      <c r="Y22" s="77" t="s">
        <v>167</v>
      </c>
      <c r="Z22" s="71">
        <v>2.1704514792447123</v>
      </c>
      <c r="AA22" s="70">
        <v>2</v>
      </c>
      <c r="AB22" s="80">
        <v>8.0309698169539026</v>
      </c>
      <c r="AC22" s="57">
        <v>0.17636978279591448</v>
      </c>
      <c r="AD22" s="84"/>
      <c r="AE22" t="s">
        <v>106</v>
      </c>
      <c r="AF22" t="s">
        <v>182</v>
      </c>
      <c r="AG22" t="s">
        <v>3</v>
      </c>
      <c r="AH22" t="s">
        <v>2</v>
      </c>
      <c r="AI22">
        <v>-0.71145616759170405</v>
      </c>
      <c r="AJ22">
        <v>0.66625419264125796</v>
      </c>
      <c r="AK22" s="57">
        <v>0.55100000000000005</v>
      </c>
      <c r="AL22">
        <v>-2.4889315159163599</v>
      </c>
      <c r="AM22">
        <v>1.0660191807331501</v>
      </c>
    </row>
    <row r="23" spans="1:39">
      <c r="A23" s="94"/>
      <c r="B23" s="52" t="s">
        <v>2</v>
      </c>
      <c r="C23" s="53">
        <v>0.33391735439591952</v>
      </c>
      <c r="D23" s="54">
        <v>5</v>
      </c>
      <c r="E23" s="56">
        <v>7.1125492224734951E-2</v>
      </c>
      <c r="F23" s="56">
        <v>0.79951965438264683</v>
      </c>
      <c r="G23" s="54">
        <v>5</v>
      </c>
      <c r="H23" s="57">
        <v>8.0306775287860871E-2</v>
      </c>
      <c r="I23" s="42"/>
      <c r="J23" s="68" t="s">
        <v>125</v>
      </c>
      <c r="K23" s="71">
        <v>2.3291539391308715</v>
      </c>
      <c r="L23" s="70">
        <v>2</v>
      </c>
      <c r="M23" s="70">
        <v>12</v>
      </c>
      <c r="N23" s="57">
        <v>0.13973402522161027</v>
      </c>
      <c r="P23" s="101"/>
      <c r="Q23" s="77" t="s">
        <v>165</v>
      </c>
      <c r="R23" s="71">
        <v>3.631349885189552</v>
      </c>
      <c r="S23" s="70">
        <v>14</v>
      </c>
      <c r="T23" s="79"/>
      <c r="U23" s="79"/>
      <c r="V23" s="57"/>
      <c r="X23" s="101" t="s">
        <v>115</v>
      </c>
      <c r="Y23" s="77" t="s">
        <v>166</v>
      </c>
      <c r="Z23" s="71">
        <v>1.0437565583319146</v>
      </c>
      <c r="AA23" s="70">
        <v>2</v>
      </c>
      <c r="AB23" s="80">
        <v>7.8076588042887769</v>
      </c>
      <c r="AC23" s="57">
        <v>0.3965391994597211</v>
      </c>
      <c r="AD23" s="84"/>
      <c r="AH23" t="s">
        <v>1</v>
      </c>
      <c r="AI23">
        <v>-0.744150952341042</v>
      </c>
      <c r="AJ23">
        <v>0.66625419264125796</v>
      </c>
      <c r="AK23" s="57">
        <v>0.52200000000000002</v>
      </c>
      <c r="AL23">
        <v>-2.5216263006656998</v>
      </c>
      <c r="AM23">
        <v>1.0333243959838201</v>
      </c>
    </row>
    <row r="24" spans="1:39" ht="23">
      <c r="A24" s="94"/>
      <c r="B24" s="52" t="s">
        <v>1</v>
      </c>
      <c r="C24" s="53">
        <v>0.21622383204125012</v>
      </c>
      <c r="D24" s="54">
        <v>5</v>
      </c>
      <c r="E24" s="55" t="s">
        <v>153</v>
      </c>
      <c r="F24" s="56">
        <v>0.87730126562119803</v>
      </c>
      <c r="G24" s="54">
        <v>5</v>
      </c>
      <c r="H24" s="57">
        <v>0.29726005700683139</v>
      </c>
      <c r="I24" s="42"/>
      <c r="J24" s="68" t="s">
        <v>126</v>
      </c>
      <c r="K24" s="69">
        <v>0.96952662430959791</v>
      </c>
      <c r="L24" s="70">
        <v>2</v>
      </c>
      <c r="M24" s="70">
        <v>12</v>
      </c>
      <c r="N24" s="57">
        <v>0.40708754335921771</v>
      </c>
      <c r="P24" s="101" t="s">
        <v>112</v>
      </c>
      <c r="Q24" s="77" t="s">
        <v>163</v>
      </c>
      <c r="R24" s="69">
        <v>7.7789848202421792E-4</v>
      </c>
      <c r="S24" s="70">
        <v>2</v>
      </c>
      <c r="T24" s="78">
        <v>3.8894924101210896E-4</v>
      </c>
      <c r="U24" s="78">
        <v>0.35117811342563304</v>
      </c>
      <c r="V24" s="57">
        <v>0.71085618801328909</v>
      </c>
      <c r="X24" s="101"/>
      <c r="Y24" s="77" t="s">
        <v>167</v>
      </c>
      <c r="Z24" s="71">
        <v>1.1816043971266115</v>
      </c>
      <c r="AA24" s="70">
        <v>2</v>
      </c>
      <c r="AB24" s="80">
        <v>10.32053429345426</v>
      </c>
      <c r="AC24" s="57">
        <v>0.34508220168828269</v>
      </c>
      <c r="AD24" s="84"/>
      <c r="AG24" t="s">
        <v>2</v>
      </c>
      <c r="AH24" t="s">
        <v>3</v>
      </c>
      <c r="AI24">
        <v>0.71145616759170405</v>
      </c>
      <c r="AJ24">
        <v>0.66625419264125796</v>
      </c>
      <c r="AK24" s="57">
        <v>0.55100000000000005</v>
      </c>
      <c r="AL24">
        <v>-1.0660191807331501</v>
      </c>
      <c r="AM24">
        <v>2.4889315159163599</v>
      </c>
    </row>
    <row r="25" spans="1:39">
      <c r="A25" s="94" t="s">
        <v>112</v>
      </c>
      <c r="B25" s="52" t="s">
        <v>3</v>
      </c>
      <c r="C25" s="53">
        <v>0.36255189259245141</v>
      </c>
      <c r="D25" s="54">
        <v>5</v>
      </c>
      <c r="E25" s="56">
        <v>3.0436776086574267E-2</v>
      </c>
      <c r="F25" s="56">
        <v>0.81967746102054551</v>
      </c>
      <c r="G25" s="54">
        <v>5</v>
      </c>
      <c r="H25" s="57">
        <v>0.11610003133117867</v>
      </c>
      <c r="I25" s="42"/>
      <c r="J25" s="68" t="s">
        <v>127</v>
      </c>
      <c r="K25" s="71">
        <v>12.955215926475944</v>
      </c>
      <c r="L25" s="70">
        <v>2</v>
      </c>
      <c r="M25" s="70">
        <v>12</v>
      </c>
      <c r="N25" s="57">
        <v>1.0058543216937836E-3</v>
      </c>
      <c r="P25" s="101"/>
      <c r="Q25" s="77" t="s">
        <v>164</v>
      </c>
      <c r="R25" s="69">
        <v>1.3290665658563865E-2</v>
      </c>
      <c r="S25" s="70">
        <v>12</v>
      </c>
      <c r="T25" s="78">
        <v>1.1075554715469888E-3</v>
      </c>
      <c r="U25" s="79"/>
      <c r="V25" s="57"/>
      <c r="X25" s="101" t="s">
        <v>116</v>
      </c>
      <c r="Y25" s="77" t="s">
        <v>166</v>
      </c>
      <c r="Z25" s="71">
        <v>3.1480989387637965</v>
      </c>
      <c r="AA25" s="70">
        <v>2</v>
      </c>
      <c r="AB25" s="80">
        <v>6.7649821172806428</v>
      </c>
      <c r="AC25" s="57">
        <v>0.10803612314683655</v>
      </c>
      <c r="AD25" s="84"/>
      <c r="AH25" t="s">
        <v>1</v>
      </c>
      <c r="AI25">
        <v>-3.2694784749438002E-2</v>
      </c>
      <c r="AJ25">
        <v>0.66625419264125796</v>
      </c>
      <c r="AK25" s="57">
        <v>0.999</v>
      </c>
      <c r="AL25">
        <v>-1.8101701330741</v>
      </c>
      <c r="AM25">
        <v>1.7447805635754201</v>
      </c>
    </row>
    <row r="26" spans="1:39" ht="23">
      <c r="A26" s="94"/>
      <c r="B26" s="52" t="s">
        <v>2</v>
      </c>
      <c r="C26" s="53">
        <v>0.22131545447208903</v>
      </c>
      <c r="D26" s="54">
        <v>5</v>
      </c>
      <c r="E26" s="55" t="s">
        <v>153</v>
      </c>
      <c r="F26" s="56">
        <v>0.91422018734311716</v>
      </c>
      <c r="G26" s="54">
        <v>5</v>
      </c>
      <c r="H26" s="57">
        <v>0.49336163218809759</v>
      </c>
      <c r="I26" s="42"/>
      <c r="J26" s="68" t="s">
        <v>128</v>
      </c>
      <c r="K26" s="71">
        <v>28.951638887508047</v>
      </c>
      <c r="L26" s="70">
        <v>2</v>
      </c>
      <c r="M26" s="70">
        <v>12</v>
      </c>
      <c r="N26" s="57">
        <v>2.5591882561762742E-5</v>
      </c>
      <c r="P26" s="101"/>
      <c r="Q26" s="77" t="s">
        <v>165</v>
      </c>
      <c r="R26" s="69">
        <v>1.4068564140588083E-2</v>
      </c>
      <c r="S26" s="70">
        <v>14</v>
      </c>
      <c r="T26" s="79"/>
      <c r="U26" s="79"/>
      <c r="V26" s="57"/>
      <c r="X26" s="101"/>
      <c r="Y26" s="77" t="s">
        <v>167</v>
      </c>
      <c r="Z26" s="71">
        <v>2.9442344496024169</v>
      </c>
      <c r="AA26" s="70">
        <v>2</v>
      </c>
      <c r="AB26" s="80">
        <v>7.6288349089095657</v>
      </c>
      <c r="AC26" s="57">
        <v>0.11281768500257947</v>
      </c>
      <c r="AD26" s="84"/>
      <c r="AG26" t="s">
        <v>1</v>
      </c>
      <c r="AH26" t="s">
        <v>3</v>
      </c>
      <c r="AI26">
        <v>0.744150952341042</v>
      </c>
      <c r="AJ26">
        <v>0.66625419264125796</v>
      </c>
      <c r="AK26" s="57">
        <v>0.52200000000000002</v>
      </c>
      <c r="AL26">
        <v>-1.0333243959838201</v>
      </c>
      <c r="AM26">
        <v>2.5216263006656998</v>
      </c>
    </row>
    <row r="27" spans="1:39">
      <c r="A27" s="94"/>
      <c r="B27" s="52" t="s">
        <v>1</v>
      </c>
      <c r="C27" s="53">
        <v>0.21422316118328888</v>
      </c>
      <c r="D27" s="54">
        <v>5</v>
      </c>
      <c r="E27" s="55" t="s">
        <v>153</v>
      </c>
      <c r="F27" s="56">
        <v>0.89004097232033963</v>
      </c>
      <c r="G27" s="54">
        <v>5</v>
      </c>
      <c r="H27" s="57">
        <v>0.35730925173805861</v>
      </c>
      <c r="I27" s="42"/>
      <c r="J27" s="68" t="s">
        <v>129</v>
      </c>
      <c r="K27" s="69">
        <v>0.23847524889005894</v>
      </c>
      <c r="L27" s="70">
        <v>2</v>
      </c>
      <c r="M27" s="70">
        <v>12</v>
      </c>
      <c r="N27" s="57">
        <v>0.79147420284679793</v>
      </c>
      <c r="P27" s="101" t="s">
        <v>113</v>
      </c>
      <c r="Q27" s="77" t="s">
        <v>163</v>
      </c>
      <c r="R27" s="69">
        <v>5.8065987604565819E-4</v>
      </c>
      <c r="S27" s="70">
        <v>2</v>
      </c>
      <c r="T27" s="78">
        <v>2.9032993802282909E-4</v>
      </c>
      <c r="U27" s="78">
        <v>0.34974551447459312</v>
      </c>
      <c r="V27" s="57">
        <v>0.71181901060213215</v>
      </c>
      <c r="X27" s="101" t="s">
        <v>117</v>
      </c>
      <c r="Y27" s="77" t="s">
        <v>166</v>
      </c>
      <c r="Z27" s="69">
        <v>0.54394665900658989</v>
      </c>
      <c r="AA27" s="70">
        <v>2</v>
      </c>
      <c r="AB27" s="80">
        <v>7.3722788033068021</v>
      </c>
      <c r="AC27" s="57">
        <v>0.60207694039715531</v>
      </c>
      <c r="AD27" s="84"/>
      <c r="AH27" t="s">
        <v>2</v>
      </c>
      <c r="AI27">
        <v>3.2694784749438002E-2</v>
      </c>
      <c r="AJ27">
        <v>0.66625419264125796</v>
      </c>
      <c r="AK27" s="57">
        <v>0.999</v>
      </c>
      <c r="AL27">
        <v>-1.7447805635754201</v>
      </c>
      <c r="AM27">
        <v>1.8101701330741</v>
      </c>
    </row>
    <row r="28" spans="1:39" ht="23">
      <c r="A28" s="94" t="s">
        <v>113</v>
      </c>
      <c r="B28" s="52" t="s">
        <v>3</v>
      </c>
      <c r="C28" s="53">
        <v>0.20299228290065091</v>
      </c>
      <c r="D28" s="54">
        <v>5</v>
      </c>
      <c r="E28" s="55" t="s">
        <v>153</v>
      </c>
      <c r="F28" s="56">
        <v>0.97759507896298103</v>
      </c>
      <c r="G28" s="54">
        <v>5</v>
      </c>
      <c r="H28" s="57">
        <v>0.92136282511166245</v>
      </c>
      <c r="I28" s="42"/>
      <c r="J28" s="68" t="s">
        <v>130</v>
      </c>
      <c r="K28" s="71">
        <v>2.5865735395365146</v>
      </c>
      <c r="L28" s="70">
        <v>2</v>
      </c>
      <c r="M28" s="70">
        <v>12</v>
      </c>
      <c r="N28" s="57">
        <v>0.11640942381152514</v>
      </c>
      <c r="P28" s="101"/>
      <c r="Q28" s="77" t="s">
        <v>164</v>
      </c>
      <c r="R28" s="69">
        <v>9.9614122614488532E-3</v>
      </c>
      <c r="S28" s="70">
        <v>12</v>
      </c>
      <c r="T28" s="78">
        <v>8.301176884540711E-4</v>
      </c>
      <c r="U28" s="79"/>
      <c r="V28" s="57"/>
      <c r="X28" s="101"/>
      <c r="Y28" s="77" t="s">
        <v>167</v>
      </c>
      <c r="Z28" s="69">
        <v>0.74252873563037192</v>
      </c>
      <c r="AA28" s="70">
        <v>2</v>
      </c>
      <c r="AB28" s="80">
        <v>10.250214685885711</v>
      </c>
      <c r="AC28" s="57">
        <v>0.49985914863507375</v>
      </c>
      <c r="AD28" s="84"/>
      <c r="AF28" t="s">
        <v>183</v>
      </c>
      <c r="AG28" t="s">
        <v>3</v>
      </c>
      <c r="AH28" t="s">
        <v>2</v>
      </c>
      <c r="AI28">
        <v>-0.71145616759170405</v>
      </c>
      <c r="AJ28">
        <v>0.653477000855338</v>
      </c>
      <c r="AK28" s="57">
        <v>0.66900000000000004</v>
      </c>
      <c r="AL28">
        <v>-2.6750230088798501</v>
      </c>
      <c r="AM28">
        <v>1.2521106736966401</v>
      </c>
    </row>
    <row r="29" spans="1:39">
      <c r="A29" s="94"/>
      <c r="B29" s="52" t="s">
        <v>2</v>
      </c>
      <c r="C29" s="53">
        <v>0.37332290771640159</v>
      </c>
      <c r="D29" s="54">
        <v>5</v>
      </c>
      <c r="E29" s="56">
        <v>2.1611310179408424E-2</v>
      </c>
      <c r="F29" s="56">
        <v>0.73998202595842844</v>
      </c>
      <c r="G29" s="54">
        <v>5</v>
      </c>
      <c r="H29" s="57">
        <v>2.3975162846065455E-2</v>
      </c>
      <c r="I29" s="42"/>
      <c r="J29" s="68" t="s">
        <v>131</v>
      </c>
      <c r="K29" s="71">
        <v>2.6380704899300653</v>
      </c>
      <c r="L29" s="70">
        <v>2</v>
      </c>
      <c r="M29" s="70">
        <v>12</v>
      </c>
      <c r="N29" s="57">
        <v>0.11230705523334066</v>
      </c>
      <c r="P29" s="101"/>
      <c r="Q29" s="77" t="s">
        <v>165</v>
      </c>
      <c r="R29" s="69">
        <v>1.0542072137494512E-2</v>
      </c>
      <c r="S29" s="70">
        <v>14</v>
      </c>
      <c r="T29" s="79"/>
      <c r="U29" s="79"/>
      <c r="V29" s="57"/>
      <c r="X29" s="101" t="s">
        <v>118</v>
      </c>
      <c r="Y29" s="77" t="s">
        <v>166</v>
      </c>
      <c r="Z29" s="71">
        <v>1.9202923688694682</v>
      </c>
      <c r="AA29" s="70">
        <v>2</v>
      </c>
      <c r="AB29" s="80">
        <v>7.3510451722931967</v>
      </c>
      <c r="AC29" s="57">
        <v>0.21333125618905588</v>
      </c>
      <c r="AD29" s="84"/>
      <c r="AH29" t="s">
        <v>1</v>
      </c>
      <c r="AI29">
        <v>-0.744150952341042</v>
      </c>
      <c r="AJ29">
        <v>0.66996864804767697</v>
      </c>
      <c r="AK29" s="57">
        <v>0.65600000000000003</v>
      </c>
      <c r="AL29">
        <v>-2.7592111831491701</v>
      </c>
      <c r="AM29">
        <v>1.27090927846729</v>
      </c>
    </row>
    <row r="30" spans="1:39" ht="23">
      <c r="A30" s="94"/>
      <c r="B30" s="52" t="s">
        <v>1</v>
      </c>
      <c r="C30" s="53">
        <v>0.15116548768833327</v>
      </c>
      <c r="D30" s="54">
        <v>5</v>
      </c>
      <c r="E30" s="55" t="s">
        <v>153</v>
      </c>
      <c r="F30" s="56">
        <v>0.97435653782298071</v>
      </c>
      <c r="G30" s="54">
        <v>5</v>
      </c>
      <c r="H30" s="57">
        <v>0.90240627185858213</v>
      </c>
      <c r="I30" s="42"/>
      <c r="J30" s="68" t="s">
        <v>132</v>
      </c>
      <c r="K30" s="71">
        <v>1.4191287748506121</v>
      </c>
      <c r="L30" s="70">
        <v>2</v>
      </c>
      <c r="M30" s="70">
        <v>12</v>
      </c>
      <c r="N30" s="57">
        <v>0.27976285205925117</v>
      </c>
      <c r="P30" s="101" t="s">
        <v>114</v>
      </c>
      <c r="Q30" s="77" t="s">
        <v>163</v>
      </c>
      <c r="R30" s="69">
        <v>0.6004317383557628</v>
      </c>
      <c r="S30" s="70">
        <v>2</v>
      </c>
      <c r="T30" s="78">
        <v>0.3002158691778814</v>
      </c>
      <c r="U30" s="80">
        <v>2.1704514792447123</v>
      </c>
      <c r="V30" s="57">
        <v>0.15683073246504792</v>
      </c>
      <c r="X30" s="101"/>
      <c r="Y30" s="77" t="s">
        <v>167</v>
      </c>
      <c r="Z30" s="71">
        <v>1.4301701903297184</v>
      </c>
      <c r="AA30" s="70">
        <v>2</v>
      </c>
      <c r="AB30" s="80">
        <v>9.9769050384837907</v>
      </c>
      <c r="AC30" s="57">
        <v>0.28437024020238966</v>
      </c>
      <c r="AD30" s="84"/>
      <c r="AG30" t="s">
        <v>2</v>
      </c>
      <c r="AH30" t="s">
        <v>3</v>
      </c>
      <c r="AI30">
        <v>0.71145616759170405</v>
      </c>
      <c r="AJ30">
        <v>0.653477000855338</v>
      </c>
      <c r="AK30" s="57">
        <v>0.66900000000000004</v>
      </c>
      <c r="AL30">
        <v>-1.2521106736966401</v>
      </c>
      <c r="AM30">
        <v>2.6750230088798501</v>
      </c>
    </row>
    <row r="31" spans="1:39">
      <c r="A31" s="94" t="s">
        <v>114</v>
      </c>
      <c r="B31" s="52" t="s">
        <v>3</v>
      </c>
      <c r="C31" s="53">
        <v>0.40130154834220633</v>
      </c>
      <c r="D31" s="54">
        <v>5</v>
      </c>
      <c r="E31" s="56">
        <v>8.3692304328892939E-3</v>
      </c>
      <c r="F31" s="56">
        <v>0.74853107459883228</v>
      </c>
      <c r="G31" s="54">
        <v>5</v>
      </c>
      <c r="H31" s="57">
        <v>2.8843802961878766E-2</v>
      </c>
      <c r="I31" s="42"/>
      <c r="J31" s="68" t="s">
        <v>133</v>
      </c>
      <c r="K31" s="71">
        <v>1.1271223969017401</v>
      </c>
      <c r="L31" s="70">
        <v>2</v>
      </c>
      <c r="M31" s="70">
        <v>12</v>
      </c>
      <c r="N31" s="57">
        <v>0.35597721356578588</v>
      </c>
      <c r="P31" s="101"/>
      <c r="Q31" s="77" t="s">
        <v>164</v>
      </c>
      <c r="R31" s="71">
        <v>1.6598345849169729</v>
      </c>
      <c r="S31" s="70">
        <v>12</v>
      </c>
      <c r="T31" s="78">
        <v>0.13831954874308108</v>
      </c>
      <c r="U31" s="79"/>
      <c r="V31" s="57"/>
      <c r="X31" s="101" t="s">
        <v>119</v>
      </c>
      <c r="Y31" s="77" t="s">
        <v>166</v>
      </c>
      <c r="Z31" s="71">
        <v>1.9768719074245447</v>
      </c>
      <c r="AA31" s="70">
        <v>2</v>
      </c>
      <c r="AB31" s="80">
        <v>7.2593224786905708</v>
      </c>
      <c r="AC31" s="57">
        <v>0.20635606469365445</v>
      </c>
      <c r="AD31" s="84"/>
      <c r="AH31" t="s">
        <v>1</v>
      </c>
      <c r="AI31">
        <v>-3.2694784749438002E-2</v>
      </c>
      <c r="AJ31">
        <v>0.67512500147931498</v>
      </c>
      <c r="AK31" s="57">
        <v>1</v>
      </c>
      <c r="AL31">
        <v>-2.06234124824147</v>
      </c>
      <c r="AM31">
        <v>1.9969516787427899</v>
      </c>
    </row>
    <row r="32" spans="1:39" ht="23">
      <c r="A32" s="94"/>
      <c r="B32" s="52" t="s">
        <v>2</v>
      </c>
      <c r="C32" s="53">
        <v>0.25204363659646101</v>
      </c>
      <c r="D32" s="54">
        <v>5</v>
      </c>
      <c r="E32" s="55" t="s">
        <v>153</v>
      </c>
      <c r="F32" s="56">
        <v>0.89964917691478241</v>
      </c>
      <c r="G32" s="54">
        <v>5</v>
      </c>
      <c r="H32" s="57">
        <v>0.40794955587920528</v>
      </c>
      <c r="I32" s="42"/>
      <c r="J32" s="68" t="s">
        <v>134</v>
      </c>
      <c r="K32" s="69">
        <v>0.96807422366357532</v>
      </c>
      <c r="L32" s="70">
        <v>2</v>
      </c>
      <c r="M32" s="70">
        <v>12</v>
      </c>
      <c r="N32" s="57">
        <v>0.40759692001761694</v>
      </c>
      <c r="P32" s="101"/>
      <c r="Q32" s="77" t="s">
        <v>165</v>
      </c>
      <c r="R32" s="71">
        <v>2.2602663232727358</v>
      </c>
      <c r="S32" s="70">
        <v>14</v>
      </c>
      <c r="T32" s="79"/>
      <c r="U32" s="79"/>
      <c r="V32" s="57"/>
      <c r="X32" s="101"/>
      <c r="Y32" s="77" t="s">
        <v>167</v>
      </c>
      <c r="Z32" s="71">
        <v>2.4730300343672327</v>
      </c>
      <c r="AA32" s="70">
        <v>2</v>
      </c>
      <c r="AB32" s="80">
        <v>10.052795910832003</v>
      </c>
      <c r="AC32" s="57">
        <v>0.13383091502263339</v>
      </c>
      <c r="AD32" s="84"/>
      <c r="AG32" t="s">
        <v>1</v>
      </c>
      <c r="AH32" t="s">
        <v>3</v>
      </c>
      <c r="AI32">
        <v>0.744150952341042</v>
      </c>
      <c r="AJ32">
        <v>0.66996864804767697</v>
      </c>
      <c r="AK32" s="57">
        <v>0.65600000000000003</v>
      </c>
      <c r="AL32">
        <v>-1.27090927846729</v>
      </c>
      <c r="AM32">
        <v>2.7592111831491701</v>
      </c>
    </row>
    <row r="33" spans="1:39">
      <c r="A33" s="94"/>
      <c r="B33" s="52" t="s">
        <v>1</v>
      </c>
      <c r="C33" s="53">
        <v>0.23383138666644576</v>
      </c>
      <c r="D33" s="54">
        <v>5</v>
      </c>
      <c r="E33" s="55" t="s">
        <v>153</v>
      </c>
      <c r="F33" s="56">
        <v>0.93926965588044431</v>
      </c>
      <c r="G33" s="54">
        <v>5</v>
      </c>
      <c r="H33" s="57">
        <v>0.66077932194976763</v>
      </c>
      <c r="I33" s="42"/>
      <c r="J33" s="68" t="s">
        <v>135</v>
      </c>
      <c r="K33" s="71">
        <v>6.0177224616481162</v>
      </c>
      <c r="L33" s="70">
        <v>2</v>
      </c>
      <c r="M33" s="70">
        <v>12</v>
      </c>
      <c r="N33" s="57">
        <v>1.5487256149043723E-2</v>
      </c>
      <c r="P33" s="101" t="s">
        <v>115</v>
      </c>
      <c r="Q33" s="77" t="s">
        <v>163</v>
      </c>
      <c r="R33" s="69">
        <v>0.27704462843741934</v>
      </c>
      <c r="S33" s="70">
        <v>2</v>
      </c>
      <c r="T33" s="78">
        <v>0.13852231421870967</v>
      </c>
      <c r="U33" s="80">
        <v>1.1816043971266115</v>
      </c>
      <c r="V33" s="57">
        <v>0.34007807511135768</v>
      </c>
      <c r="X33" s="101" t="s">
        <v>120</v>
      </c>
      <c r="Y33" s="77" t="s">
        <v>166</v>
      </c>
      <c r="Z33" s="71">
        <v>35.948013892678887</v>
      </c>
      <c r="AA33" s="70">
        <v>2</v>
      </c>
      <c r="AB33" s="80">
        <v>7.6741606155961799</v>
      </c>
      <c r="AC33" s="57">
        <v>1.2664927298318201E-4</v>
      </c>
      <c r="AD33" s="84"/>
      <c r="AH33" t="s">
        <v>2</v>
      </c>
      <c r="AI33">
        <v>3.2694784749438002E-2</v>
      </c>
      <c r="AJ33">
        <v>0.67512500147931498</v>
      </c>
      <c r="AK33" s="57">
        <v>1</v>
      </c>
      <c r="AL33">
        <v>-1.9969516787427899</v>
      </c>
      <c r="AM33">
        <v>2.06234124824147</v>
      </c>
    </row>
    <row r="34" spans="1:39" ht="23">
      <c r="A34" s="94" t="s">
        <v>115</v>
      </c>
      <c r="B34" s="52" t="s">
        <v>3</v>
      </c>
      <c r="C34" s="53">
        <v>0.25418013349007679</v>
      </c>
      <c r="D34" s="54">
        <v>5</v>
      </c>
      <c r="E34" s="55" t="s">
        <v>153</v>
      </c>
      <c r="F34" s="56">
        <v>0.89379279276049528</v>
      </c>
      <c r="G34" s="54">
        <v>5</v>
      </c>
      <c r="H34" s="57">
        <v>0.37653479737924772</v>
      </c>
      <c r="I34" s="42"/>
      <c r="J34" s="68" t="s">
        <v>136</v>
      </c>
      <c r="K34" s="69">
        <v>0.23068843130524869</v>
      </c>
      <c r="L34" s="70">
        <v>2</v>
      </c>
      <c r="M34" s="70">
        <v>12</v>
      </c>
      <c r="N34" s="57">
        <v>0.79742765712926522</v>
      </c>
      <c r="P34" s="101"/>
      <c r="Q34" s="77" t="s">
        <v>164</v>
      </c>
      <c r="R34" s="71">
        <v>1.4067887481349652</v>
      </c>
      <c r="S34" s="70">
        <v>12</v>
      </c>
      <c r="T34" s="78">
        <v>0.11723239567791377</v>
      </c>
      <c r="U34" s="79"/>
      <c r="V34" s="57"/>
      <c r="X34" s="101"/>
      <c r="Y34" s="77" t="s">
        <v>167</v>
      </c>
      <c r="Z34" s="71">
        <v>54.0322569977345</v>
      </c>
      <c r="AA34" s="70">
        <v>2</v>
      </c>
      <c r="AB34" s="80">
        <v>8.968790457546195</v>
      </c>
      <c r="AC34" s="57">
        <v>9.9384383140330913E-6</v>
      </c>
      <c r="AD34" s="84"/>
      <c r="AF34" t="s">
        <v>184</v>
      </c>
      <c r="AG34" t="s">
        <v>3</v>
      </c>
      <c r="AH34" t="s">
        <v>2</v>
      </c>
      <c r="AI34">
        <v>-0.71145616759170405</v>
      </c>
      <c r="AJ34">
        <v>0.653477000855338</v>
      </c>
      <c r="AK34" s="57">
        <v>0.63900000000000001</v>
      </c>
      <c r="AL34">
        <v>-2.64456195203684</v>
      </c>
      <c r="AM34">
        <v>1.2216496168536299</v>
      </c>
    </row>
    <row r="35" spans="1:39">
      <c r="A35" s="94"/>
      <c r="B35" s="52" t="s">
        <v>2</v>
      </c>
      <c r="C35" s="53">
        <v>0.14029555126775661</v>
      </c>
      <c r="D35" s="54">
        <v>5</v>
      </c>
      <c r="E35" s="55" t="s">
        <v>153</v>
      </c>
      <c r="F35" s="56">
        <v>0.98881139844786015</v>
      </c>
      <c r="G35" s="54">
        <v>5</v>
      </c>
      <c r="H35" s="57">
        <v>0.97536608279407067</v>
      </c>
      <c r="I35" s="42"/>
      <c r="J35" s="68" t="s">
        <v>137</v>
      </c>
      <c r="K35" s="69">
        <v>0.28712860474813112</v>
      </c>
      <c r="L35" s="70">
        <v>2</v>
      </c>
      <c r="M35" s="70">
        <v>12</v>
      </c>
      <c r="N35" s="57">
        <v>0.75542862638669239</v>
      </c>
      <c r="P35" s="101"/>
      <c r="Q35" s="77" t="s">
        <v>165</v>
      </c>
      <c r="R35" s="71">
        <v>1.6838333765723845</v>
      </c>
      <c r="S35" s="70">
        <v>14</v>
      </c>
      <c r="T35" s="79"/>
      <c r="U35" s="79"/>
      <c r="V35" s="57"/>
      <c r="X35" s="101" t="s">
        <v>121</v>
      </c>
      <c r="Y35" s="77" t="s">
        <v>166</v>
      </c>
      <c r="Z35" s="71">
        <v>34.887819993203934</v>
      </c>
      <c r="AA35" s="70">
        <v>2</v>
      </c>
      <c r="AB35" s="80">
        <v>7.3153834879419355</v>
      </c>
      <c r="AC35" s="57">
        <v>1.8156604559169969E-4</v>
      </c>
      <c r="AD35" s="84"/>
      <c r="AH35" t="s">
        <v>1</v>
      </c>
      <c r="AI35">
        <v>-0.744150952341042</v>
      </c>
      <c r="AJ35">
        <v>0.66996864804767697</v>
      </c>
      <c r="AK35" s="57">
        <v>0.626</v>
      </c>
      <c r="AL35">
        <v>-2.7277594704224599</v>
      </c>
      <c r="AM35">
        <v>1.23945756574057</v>
      </c>
    </row>
    <row r="36" spans="1:39" ht="23">
      <c r="A36" s="94"/>
      <c r="B36" s="52" t="s">
        <v>1</v>
      </c>
      <c r="C36" s="53">
        <v>0.29216314473642269</v>
      </c>
      <c r="D36" s="54">
        <v>5</v>
      </c>
      <c r="E36" s="56">
        <v>0.18870305451277608</v>
      </c>
      <c r="F36" s="56">
        <v>0.88066469519020374</v>
      </c>
      <c r="G36" s="54">
        <v>5</v>
      </c>
      <c r="H36" s="57">
        <v>0.31233393725940733</v>
      </c>
      <c r="I36" s="42"/>
      <c r="J36" s="68" t="s">
        <v>46</v>
      </c>
      <c r="K36" s="71">
        <v>2.0518893230598119</v>
      </c>
      <c r="L36" s="70">
        <v>2</v>
      </c>
      <c r="M36" s="70">
        <v>12</v>
      </c>
      <c r="N36" s="57">
        <v>0.17120668654924853</v>
      </c>
      <c r="P36" s="101" t="s">
        <v>116</v>
      </c>
      <c r="Q36" s="77" t="s">
        <v>163</v>
      </c>
      <c r="R36" s="71">
        <v>8.0674939491524782</v>
      </c>
      <c r="S36" s="70">
        <v>2</v>
      </c>
      <c r="T36" s="80">
        <v>4.0337469745762391</v>
      </c>
      <c r="U36" s="80">
        <v>2.9442344496024164</v>
      </c>
      <c r="V36" s="57">
        <v>9.1127289931741878E-2</v>
      </c>
      <c r="X36" s="101"/>
      <c r="Y36" s="77" t="s">
        <v>167</v>
      </c>
      <c r="Z36" s="71">
        <v>29.030863515301967</v>
      </c>
      <c r="AA36" s="70">
        <v>2</v>
      </c>
      <c r="AB36" s="80">
        <v>7.3432339928794423</v>
      </c>
      <c r="AC36" s="57">
        <v>3.2582147241561667E-4</v>
      </c>
      <c r="AD36" s="84"/>
      <c r="AG36" t="s">
        <v>2</v>
      </c>
      <c r="AH36" t="s">
        <v>3</v>
      </c>
      <c r="AI36">
        <v>0.71145616759170405</v>
      </c>
      <c r="AJ36">
        <v>0.653477000855338</v>
      </c>
      <c r="AK36" s="57">
        <v>0.63900000000000001</v>
      </c>
      <c r="AL36">
        <v>-1.2216496168536299</v>
      </c>
      <c r="AM36">
        <v>2.64456195203684</v>
      </c>
    </row>
    <row r="37" spans="1:39">
      <c r="A37" s="94" t="s">
        <v>116</v>
      </c>
      <c r="B37" s="52" t="s">
        <v>3</v>
      </c>
      <c r="C37" s="53">
        <v>0.27768639938731043</v>
      </c>
      <c r="D37" s="54">
        <v>5</v>
      </c>
      <c r="E37" s="55" t="s">
        <v>153</v>
      </c>
      <c r="F37" s="56">
        <v>0.83948688488432222</v>
      </c>
      <c r="G37" s="54">
        <v>5</v>
      </c>
      <c r="H37" s="57">
        <v>0.16350854862413905</v>
      </c>
      <c r="I37" s="42"/>
      <c r="J37" s="68" t="s">
        <v>92</v>
      </c>
      <c r="K37" s="69">
        <v>0.24347318705705834</v>
      </c>
      <c r="L37" s="70">
        <v>2</v>
      </c>
      <c r="M37" s="70">
        <v>12</v>
      </c>
      <c r="N37" s="57">
        <v>0.78768032309117286</v>
      </c>
      <c r="P37" s="101"/>
      <c r="Q37" s="77" t="s">
        <v>164</v>
      </c>
      <c r="R37" s="71">
        <v>16.440594159018612</v>
      </c>
      <c r="S37" s="70">
        <v>12</v>
      </c>
      <c r="T37" s="80">
        <v>1.3700495132515511</v>
      </c>
      <c r="U37" s="79"/>
      <c r="V37" s="57"/>
      <c r="X37" s="101" t="s">
        <v>122</v>
      </c>
      <c r="Y37" s="77" t="s">
        <v>166</v>
      </c>
      <c r="Z37" s="86"/>
      <c r="AA37" s="87"/>
      <c r="AB37" s="87"/>
      <c r="AC37" s="57"/>
      <c r="AD37" s="84"/>
      <c r="AH37" t="s">
        <v>1</v>
      </c>
      <c r="AI37">
        <v>-3.2694784749438002E-2</v>
      </c>
      <c r="AJ37">
        <v>0.67512500147931498</v>
      </c>
      <c r="AK37" s="57">
        <v>1</v>
      </c>
      <c r="AL37">
        <v>-2.0307531121803999</v>
      </c>
      <c r="AM37">
        <v>1.96536354268172</v>
      </c>
    </row>
    <row r="38" spans="1:39" ht="23">
      <c r="A38" s="94"/>
      <c r="B38" s="52" t="s">
        <v>2</v>
      </c>
      <c r="C38" s="53">
        <v>0.19940895074943893</v>
      </c>
      <c r="D38" s="54">
        <v>5</v>
      </c>
      <c r="E38" s="55" t="s">
        <v>153</v>
      </c>
      <c r="F38" s="56">
        <v>0.91791327348791818</v>
      </c>
      <c r="G38" s="54">
        <v>5</v>
      </c>
      <c r="H38" s="57">
        <v>0.51656842312244811</v>
      </c>
      <c r="I38" s="42"/>
      <c r="J38" s="68" t="s">
        <v>93</v>
      </c>
      <c r="K38" s="69">
        <v>0.49894169844794012</v>
      </c>
      <c r="L38" s="70">
        <v>2</v>
      </c>
      <c r="M38" s="70">
        <v>12</v>
      </c>
      <c r="N38" s="57">
        <v>0.61922952660034469</v>
      </c>
      <c r="P38" s="101"/>
      <c r="Q38" s="77" t="s">
        <v>165</v>
      </c>
      <c r="R38" s="71">
        <v>24.508088108171091</v>
      </c>
      <c r="S38" s="70">
        <v>14</v>
      </c>
      <c r="T38" s="79"/>
      <c r="U38" s="79"/>
      <c r="V38" s="57"/>
      <c r="X38" s="101"/>
      <c r="Y38" s="77" t="s">
        <v>167</v>
      </c>
      <c r="Z38" s="86"/>
      <c r="AA38" s="87"/>
      <c r="AB38" s="87"/>
      <c r="AC38" s="57"/>
      <c r="AD38" s="84"/>
      <c r="AG38" t="s">
        <v>1</v>
      </c>
      <c r="AH38" t="s">
        <v>3</v>
      </c>
      <c r="AI38">
        <v>0.744150952341042</v>
      </c>
      <c r="AJ38">
        <v>0.66996864804767697</v>
      </c>
      <c r="AK38" s="57">
        <v>0.626</v>
      </c>
      <c r="AL38">
        <v>-1.23945756574057</v>
      </c>
      <c r="AM38">
        <v>2.7277594704224599</v>
      </c>
    </row>
    <row r="39" spans="1:39">
      <c r="A39" s="94"/>
      <c r="B39" s="52" t="s">
        <v>1</v>
      </c>
      <c r="C39" s="53">
        <v>0.1263293477508729</v>
      </c>
      <c r="D39" s="54">
        <v>5</v>
      </c>
      <c r="E39" s="55" t="s">
        <v>153</v>
      </c>
      <c r="F39" s="56">
        <v>0.99344654822072886</v>
      </c>
      <c r="G39" s="54">
        <v>5</v>
      </c>
      <c r="H39" s="57">
        <v>0.99026328328814939</v>
      </c>
      <c r="I39" s="42"/>
      <c r="J39" s="68" t="s">
        <v>94</v>
      </c>
      <c r="K39" s="69">
        <v>0.24745711736172282</v>
      </c>
      <c r="L39" s="70">
        <v>2</v>
      </c>
      <c r="M39" s="70">
        <v>12</v>
      </c>
      <c r="N39" s="57">
        <v>0.78467135646397312</v>
      </c>
      <c r="P39" s="101" t="s">
        <v>117</v>
      </c>
      <c r="Q39" s="77" t="s">
        <v>163</v>
      </c>
      <c r="R39" s="71">
        <v>41.775898187440013</v>
      </c>
      <c r="S39" s="70">
        <v>2</v>
      </c>
      <c r="T39" s="80">
        <v>20.887949093720007</v>
      </c>
      <c r="U39" s="78">
        <v>0.74252873563037203</v>
      </c>
      <c r="V39" s="57">
        <v>0.49655878090403238</v>
      </c>
      <c r="X39" s="101" t="s">
        <v>123</v>
      </c>
      <c r="Y39" s="77" t="s">
        <v>166</v>
      </c>
      <c r="Z39" s="71">
        <v>1.9579616923782861</v>
      </c>
      <c r="AA39" s="70">
        <v>2</v>
      </c>
      <c r="AB39" s="80">
        <v>5.9333015061636623</v>
      </c>
      <c r="AC39" s="57">
        <v>0.22234299388941392</v>
      </c>
      <c r="AD39" s="84"/>
      <c r="AH39" t="s">
        <v>2</v>
      </c>
      <c r="AI39">
        <v>3.2694784749438002E-2</v>
      </c>
      <c r="AJ39">
        <v>0.67512500147931498</v>
      </c>
      <c r="AK39" s="57">
        <v>1</v>
      </c>
      <c r="AL39">
        <v>-1.96536354268172</v>
      </c>
      <c r="AM39">
        <v>2.0307531121803999</v>
      </c>
    </row>
    <row r="40" spans="1:39" ht="23">
      <c r="A40" s="94" t="s">
        <v>117</v>
      </c>
      <c r="B40" s="52" t="s">
        <v>3</v>
      </c>
      <c r="C40" s="53">
        <v>0.26666881466927028</v>
      </c>
      <c r="D40" s="54">
        <v>5</v>
      </c>
      <c r="E40" s="55" t="s">
        <v>153</v>
      </c>
      <c r="F40" s="56">
        <v>0.91736837478045363</v>
      </c>
      <c r="G40" s="54">
        <v>5</v>
      </c>
      <c r="H40" s="57">
        <v>0.5131071056732438</v>
      </c>
      <c r="I40" s="42"/>
      <c r="J40" s="68" t="s">
        <v>138</v>
      </c>
      <c r="K40" s="69">
        <v>0.35306392872757025</v>
      </c>
      <c r="L40" s="70">
        <v>2</v>
      </c>
      <c r="M40" s="70">
        <v>12</v>
      </c>
      <c r="N40" s="57">
        <v>0.70959108278243777</v>
      </c>
      <c r="P40" s="101"/>
      <c r="Q40" s="77" t="s">
        <v>164</v>
      </c>
      <c r="R40" s="71">
        <v>337.56995129871359</v>
      </c>
      <c r="S40" s="70">
        <v>12</v>
      </c>
      <c r="T40" s="80">
        <v>28.1308292748928</v>
      </c>
      <c r="U40" s="79"/>
      <c r="V40" s="57"/>
      <c r="X40" s="101"/>
      <c r="Y40" s="77" t="s">
        <v>167</v>
      </c>
      <c r="Z40" s="71">
        <v>3.5877500057473002</v>
      </c>
      <c r="AA40" s="70">
        <v>2</v>
      </c>
      <c r="AB40" s="80">
        <v>4.0324358275047016</v>
      </c>
      <c r="AC40" s="57">
        <v>0.12731617481428498</v>
      </c>
      <c r="AD40" s="84"/>
      <c r="AE40" t="s">
        <v>107</v>
      </c>
      <c r="AF40" t="s">
        <v>182</v>
      </c>
      <c r="AG40" t="s">
        <v>3</v>
      </c>
      <c r="AH40" t="s">
        <v>2</v>
      </c>
      <c r="AI40">
        <v>-4.8689009206575998E-2</v>
      </c>
      <c r="AJ40">
        <v>1.8629963954339E-2</v>
      </c>
      <c r="AK40" s="57">
        <v>5.5E-2</v>
      </c>
      <c r="AL40">
        <v>-9.8391213011951001E-2</v>
      </c>
      <c r="AM40">
        <v>1.013194598999E-3</v>
      </c>
    </row>
    <row r="41" spans="1:39">
      <c r="A41" s="94"/>
      <c r="B41" s="52" t="s">
        <v>2</v>
      </c>
      <c r="C41" s="53">
        <v>0.23921509711634736</v>
      </c>
      <c r="D41" s="54">
        <v>5</v>
      </c>
      <c r="E41" s="55" t="s">
        <v>153</v>
      </c>
      <c r="F41" s="56">
        <v>0.87516380745300348</v>
      </c>
      <c r="G41" s="54">
        <v>5</v>
      </c>
      <c r="H41" s="57">
        <v>0.28796729313479363</v>
      </c>
      <c r="I41" s="42"/>
      <c r="J41" s="68" t="s">
        <v>139</v>
      </c>
      <c r="K41" s="71">
        <v>2.1213949181995506</v>
      </c>
      <c r="L41" s="70">
        <v>2</v>
      </c>
      <c r="M41" s="70">
        <v>12</v>
      </c>
      <c r="N41" s="57">
        <v>0.16260119234769152</v>
      </c>
      <c r="P41" s="101"/>
      <c r="Q41" s="77" t="s">
        <v>165</v>
      </c>
      <c r="R41" s="71">
        <v>379.34584948615361</v>
      </c>
      <c r="S41" s="70">
        <v>14</v>
      </c>
      <c r="T41" s="79"/>
      <c r="U41" s="79"/>
      <c r="V41" s="57"/>
      <c r="X41" s="101" t="s">
        <v>124</v>
      </c>
      <c r="Y41" s="77" t="s">
        <v>166</v>
      </c>
      <c r="Z41" s="69">
        <v>0.87781656090965576</v>
      </c>
      <c r="AA41" s="70">
        <v>2</v>
      </c>
      <c r="AB41" s="80">
        <v>7.5012761850287051</v>
      </c>
      <c r="AC41" s="57">
        <v>0.45441328908263801</v>
      </c>
      <c r="AD41" s="84"/>
      <c r="AH41" t="s">
        <v>1</v>
      </c>
      <c r="AI41">
        <v>-4.5476709638797998E-2</v>
      </c>
      <c r="AJ41">
        <v>1.8629963954339E-2</v>
      </c>
      <c r="AK41" s="57">
        <v>7.3999999999999996E-2</v>
      </c>
      <c r="AL41">
        <v>-9.5178913444172994E-2</v>
      </c>
      <c r="AM41">
        <v>4.2254941667759999E-3</v>
      </c>
    </row>
    <row r="42" spans="1:39" ht="23">
      <c r="A42" s="94"/>
      <c r="B42" s="52" t="s">
        <v>1</v>
      </c>
      <c r="C42" s="53">
        <v>0.27436585159142945</v>
      </c>
      <c r="D42" s="54">
        <v>5</v>
      </c>
      <c r="E42" s="55" t="s">
        <v>153</v>
      </c>
      <c r="F42" s="56">
        <v>0.84754609101582346</v>
      </c>
      <c r="G42" s="54">
        <v>5</v>
      </c>
      <c r="H42" s="57">
        <v>0.18688577944872251</v>
      </c>
      <c r="I42" s="42"/>
      <c r="J42" s="68" t="s">
        <v>140</v>
      </c>
      <c r="K42" s="69">
        <v>0.47284786128543366</v>
      </c>
      <c r="L42" s="70">
        <v>2</v>
      </c>
      <c r="M42" s="70">
        <v>12</v>
      </c>
      <c r="N42" s="57">
        <v>0.6343589999419692</v>
      </c>
      <c r="P42" s="101" t="s">
        <v>118</v>
      </c>
      <c r="Q42" s="77" t="s">
        <v>163</v>
      </c>
      <c r="R42" s="69">
        <v>0.59063813760453598</v>
      </c>
      <c r="S42" s="70">
        <v>2</v>
      </c>
      <c r="T42" s="78">
        <v>0.29531906880226799</v>
      </c>
      <c r="U42" s="80">
        <v>1.4301701903297184</v>
      </c>
      <c r="V42" s="57">
        <v>0.27727769375781908</v>
      </c>
      <c r="X42" s="101"/>
      <c r="Y42" s="77" t="s">
        <v>167</v>
      </c>
      <c r="Z42" s="71">
        <v>1.1926845648802673</v>
      </c>
      <c r="AA42" s="70">
        <v>2</v>
      </c>
      <c r="AB42" s="80">
        <v>7.2781790236891455</v>
      </c>
      <c r="AC42" s="57">
        <v>0.35643272105927992</v>
      </c>
      <c r="AD42" s="84"/>
      <c r="AG42" t="s">
        <v>2</v>
      </c>
      <c r="AH42" t="s">
        <v>3</v>
      </c>
      <c r="AI42">
        <v>4.8689009206575998E-2</v>
      </c>
      <c r="AJ42">
        <v>1.8629963954339E-2</v>
      </c>
      <c r="AK42" s="57">
        <v>5.5E-2</v>
      </c>
      <c r="AL42">
        <v>-1.013194598999E-3</v>
      </c>
      <c r="AM42">
        <v>9.8391213011951001E-2</v>
      </c>
    </row>
    <row r="43" spans="1:39">
      <c r="A43" s="94" t="s">
        <v>118</v>
      </c>
      <c r="B43" s="52" t="s">
        <v>3</v>
      </c>
      <c r="C43" s="53">
        <v>0.33117998211686367</v>
      </c>
      <c r="D43" s="54">
        <v>5</v>
      </c>
      <c r="E43" s="56">
        <v>7.6776802016231854E-2</v>
      </c>
      <c r="F43" s="56">
        <v>0.7550728159466058</v>
      </c>
      <c r="G43" s="54">
        <v>5</v>
      </c>
      <c r="H43" s="57">
        <v>3.3140376527575115E-2</v>
      </c>
      <c r="I43" s="42"/>
      <c r="J43" s="68" t="s">
        <v>141</v>
      </c>
      <c r="K43" s="71">
        <v>1.5653375201662345</v>
      </c>
      <c r="L43" s="70">
        <v>2</v>
      </c>
      <c r="M43" s="70">
        <v>12</v>
      </c>
      <c r="N43" s="57">
        <v>0.24885000385106754</v>
      </c>
      <c r="P43" s="101"/>
      <c r="Q43" s="77" t="s">
        <v>164</v>
      </c>
      <c r="R43" s="71">
        <v>2.4779070697944028</v>
      </c>
      <c r="S43" s="70">
        <v>12</v>
      </c>
      <c r="T43" s="78">
        <v>0.20649225581620023</v>
      </c>
      <c r="U43" s="79"/>
      <c r="V43" s="57"/>
      <c r="X43" s="101" t="s">
        <v>125</v>
      </c>
      <c r="Y43" s="77" t="s">
        <v>166</v>
      </c>
      <c r="Z43" s="71">
        <v>2.0813591958875595</v>
      </c>
      <c r="AA43" s="70">
        <v>2</v>
      </c>
      <c r="AB43" s="80">
        <v>6.0945180324350581</v>
      </c>
      <c r="AC43" s="57">
        <v>0.20466433240948967</v>
      </c>
      <c r="AD43" s="84"/>
      <c r="AH43" t="s">
        <v>1</v>
      </c>
      <c r="AI43">
        <v>3.2122995678779999E-3</v>
      </c>
      <c r="AJ43">
        <v>1.8629963954339E-2</v>
      </c>
      <c r="AK43" s="57">
        <v>0.98399999999999999</v>
      </c>
      <c r="AL43">
        <v>-4.6489904237697E-2</v>
      </c>
      <c r="AM43">
        <v>5.2914503373252E-2</v>
      </c>
    </row>
    <row r="44" spans="1:39" ht="23.5" thickBot="1">
      <c r="A44" s="94"/>
      <c r="B44" s="52" t="s">
        <v>2</v>
      </c>
      <c r="C44" s="53">
        <v>0.23175373132932964</v>
      </c>
      <c r="D44" s="54">
        <v>5</v>
      </c>
      <c r="E44" s="55" t="s">
        <v>153</v>
      </c>
      <c r="F44" s="56">
        <v>0.89294542228318818</v>
      </c>
      <c r="G44" s="54">
        <v>5</v>
      </c>
      <c r="H44" s="57">
        <v>0.3721310290962932</v>
      </c>
      <c r="I44" s="42"/>
      <c r="J44" s="72" t="s">
        <v>142</v>
      </c>
      <c r="K44" s="73">
        <v>0.71203373582630847</v>
      </c>
      <c r="L44" s="74">
        <v>2</v>
      </c>
      <c r="M44" s="74">
        <v>12</v>
      </c>
      <c r="N44" s="57">
        <v>0.51024965332197159</v>
      </c>
      <c r="P44" s="101"/>
      <c r="Q44" s="77" t="s">
        <v>165</v>
      </c>
      <c r="R44" s="71">
        <v>3.0685452073989388</v>
      </c>
      <c r="S44" s="70">
        <v>14</v>
      </c>
      <c r="T44" s="79"/>
      <c r="U44" s="79"/>
      <c r="V44" s="57"/>
      <c r="X44" s="101"/>
      <c r="Y44" s="77" t="s">
        <v>167</v>
      </c>
      <c r="Z44" s="71">
        <v>3.338737262887399</v>
      </c>
      <c r="AA44" s="70">
        <v>2</v>
      </c>
      <c r="AB44" s="80">
        <v>6.150671034035085</v>
      </c>
      <c r="AC44" s="57">
        <v>0.10428591280713839</v>
      </c>
      <c r="AD44" s="84"/>
      <c r="AG44" t="s">
        <v>1</v>
      </c>
      <c r="AH44" t="s">
        <v>3</v>
      </c>
      <c r="AI44">
        <v>4.5476709638797998E-2</v>
      </c>
      <c r="AJ44">
        <v>1.8629963954339E-2</v>
      </c>
      <c r="AK44" s="57">
        <v>7.3999999999999996E-2</v>
      </c>
      <c r="AL44">
        <v>-4.2254941667759999E-3</v>
      </c>
      <c r="AM44">
        <v>9.5178913444172994E-2</v>
      </c>
    </row>
    <row r="45" spans="1:39" ht="15" thickTop="1">
      <c r="A45" s="94"/>
      <c r="B45" s="52" t="s">
        <v>1</v>
      </c>
      <c r="C45" s="53">
        <v>0.19387928530226833</v>
      </c>
      <c r="D45" s="54">
        <v>5</v>
      </c>
      <c r="E45" s="55" t="s">
        <v>153</v>
      </c>
      <c r="F45" s="56">
        <v>0.97380576503676008</v>
      </c>
      <c r="G45" s="54">
        <v>5</v>
      </c>
      <c r="H45" s="57">
        <v>0.8990702583855894</v>
      </c>
      <c r="I45" s="42"/>
      <c r="P45" s="101" t="s">
        <v>119</v>
      </c>
      <c r="Q45" s="77" t="s">
        <v>163</v>
      </c>
      <c r="R45" s="71">
        <v>29.338837007348118</v>
      </c>
      <c r="S45" s="70">
        <v>2</v>
      </c>
      <c r="T45" s="80">
        <v>14.669418503674059</v>
      </c>
      <c r="U45" s="80">
        <v>2.4730300343672331</v>
      </c>
      <c r="V45" s="57">
        <v>0.12608836905117102</v>
      </c>
      <c r="X45" s="101" t="s">
        <v>126</v>
      </c>
      <c r="Y45" s="77" t="s">
        <v>166</v>
      </c>
      <c r="Z45" s="71">
        <v>1.3802694011607846</v>
      </c>
      <c r="AA45" s="70">
        <v>2</v>
      </c>
      <c r="AB45" s="80">
        <v>6.7820403111303804</v>
      </c>
      <c r="AC45" s="57">
        <v>0.31411841064258683</v>
      </c>
      <c r="AD45" s="84"/>
      <c r="AH45" t="s">
        <v>2</v>
      </c>
      <c r="AI45">
        <v>-3.2122995678779999E-3</v>
      </c>
      <c r="AJ45">
        <v>1.8629963954339E-2</v>
      </c>
      <c r="AK45" s="57">
        <v>0.98399999999999999</v>
      </c>
      <c r="AL45">
        <v>-5.2914503373252E-2</v>
      </c>
      <c r="AM45">
        <v>4.6489904237697E-2</v>
      </c>
    </row>
    <row r="46" spans="1:39" ht="23">
      <c r="A46" s="94" t="s">
        <v>119</v>
      </c>
      <c r="B46" s="52" t="s">
        <v>3</v>
      </c>
      <c r="C46" s="53">
        <v>0.25981582978315182</v>
      </c>
      <c r="D46" s="54">
        <v>5</v>
      </c>
      <c r="E46" s="55" t="s">
        <v>153</v>
      </c>
      <c r="F46" s="56">
        <v>0.88605707506344722</v>
      </c>
      <c r="G46" s="54">
        <v>5</v>
      </c>
      <c r="H46" s="57">
        <v>0.33766504811269399</v>
      </c>
      <c r="I46" s="42"/>
      <c r="P46" s="101"/>
      <c r="Q46" s="77" t="s">
        <v>164</v>
      </c>
      <c r="R46" s="71">
        <v>71.181109650020801</v>
      </c>
      <c r="S46" s="70">
        <v>12</v>
      </c>
      <c r="T46" s="80">
        <v>5.9317591375017331</v>
      </c>
      <c r="U46" s="79"/>
      <c r="V46" s="57"/>
      <c r="X46" s="101"/>
      <c r="Y46" s="77" t="s">
        <v>167</v>
      </c>
      <c r="Z46" s="69">
        <v>0.91295173398767937</v>
      </c>
      <c r="AA46" s="70">
        <v>2</v>
      </c>
      <c r="AB46" s="80">
        <v>8.8176207468037404</v>
      </c>
      <c r="AC46" s="57">
        <v>0.43616431403960576</v>
      </c>
      <c r="AD46" s="84"/>
      <c r="AF46" t="s">
        <v>183</v>
      </c>
      <c r="AG46" t="s">
        <v>3</v>
      </c>
      <c r="AH46" t="s">
        <v>2</v>
      </c>
      <c r="AI46">
        <v>-4.8689009206575998E-2</v>
      </c>
      <c r="AJ46">
        <v>1.9515122603612E-2</v>
      </c>
      <c r="AK46" s="57">
        <v>0.14099999999999999</v>
      </c>
      <c r="AL46">
        <v>-0.114005787406919</v>
      </c>
      <c r="AM46">
        <v>1.6627768993967E-2</v>
      </c>
    </row>
    <row r="47" spans="1:39">
      <c r="A47" s="94"/>
      <c r="B47" s="52" t="s">
        <v>2</v>
      </c>
      <c r="C47" s="53">
        <v>0.241908499849664</v>
      </c>
      <c r="D47" s="54">
        <v>5</v>
      </c>
      <c r="E47" s="55" t="s">
        <v>153</v>
      </c>
      <c r="F47" s="56">
        <v>0.83581464246652637</v>
      </c>
      <c r="G47" s="54">
        <v>5</v>
      </c>
      <c r="H47" s="57">
        <v>0.1536812371056607</v>
      </c>
      <c r="I47" s="42"/>
      <c r="P47" s="101"/>
      <c r="Q47" s="77" t="s">
        <v>165</v>
      </c>
      <c r="R47" s="71">
        <v>100.51994665736892</v>
      </c>
      <c r="S47" s="70">
        <v>14</v>
      </c>
      <c r="T47" s="79"/>
      <c r="U47" s="79"/>
      <c r="V47" s="57"/>
      <c r="X47" s="101" t="s">
        <v>127</v>
      </c>
      <c r="Y47" s="77" t="s">
        <v>166</v>
      </c>
      <c r="Z47" s="86"/>
      <c r="AA47" s="87"/>
      <c r="AB47" s="87"/>
      <c r="AC47" s="57"/>
      <c r="AD47" s="84"/>
      <c r="AH47" t="s">
        <v>1</v>
      </c>
      <c r="AI47" t="s">
        <v>187</v>
      </c>
      <c r="AJ47">
        <v>1.4398738075935001E-2</v>
      </c>
      <c r="AK47" s="57">
        <v>4.5999999999999999E-2</v>
      </c>
      <c r="AL47">
        <v>-9.0088305789746997E-2</v>
      </c>
      <c r="AM47">
        <v>-8.6511348784899995E-4</v>
      </c>
    </row>
    <row r="48" spans="1:39" ht="23">
      <c r="A48" s="94"/>
      <c r="B48" s="52" t="s">
        <v>1</v>
      </c>
      <c r="C48" s="53">
        <v>0.21423966495551977</v>
      </c>
      <c r="D48" s="54">
        <v>5</v>
      </c>
      <c r="E48" s="55" t="s">
        <v>153</v>
      </c>
      <c r="F48" s="56">
        <v>0.92755134920309001</v>
      </c>
      <c r="G48" s="54">
        <v>5</v>
      </c>
      <c r="H48" s="57">
        <v>0.57977019022436638</v>
      </c>
      <c r="I48" s="42"/>
      <c r="P48" s="101" t="s">
        <v>120</v>
      </c>
      <c r="Q48" s="77" t="s">
        <v>163</v>
      </c>
      <c r="R48" s="69">
        <v>0.41569641206173868</v>
      </c>
      <c r="S48" s="70">
        <v>2</v>
      </c>
      <c r="T48" s="78">
        <v>0.20784820603086934</v>
      </c>
      <c r="U48" s="80">
        <v>54.032256997734507</v>
      </c>
      <c r="V48" s="57">
        <v>9.9678036119975763E-7</v>
      </c>
      <c r="X48" s="101"/>
      <c r="Y48" s="77" t="s">
        <v>167</v>
      </c>
      <c r="Z48" s="86"/>
      <c r="AA48" s="87"/>
      <c r="AB48" s="87"/>
      <c r="AC48" s="57"/>
      <c r="AD48" s="84"/>
      <c r="AG48" t="s">
        <v>2</v>
      </c>
      <c r="AH48" t="s">
        <v>3</v>
      </c>
      <c r="AI48">
        <v>4.8689009206575998E-2</v>
      </c>
      <c r="AJ48">
        <v>1.9515122603612E-2</v>
      </c>
      <c r="AK48" s="57">
        <v>0.14099999999999999</v>
      </c>
      <c r="AL48">
        <v>-1.6627768993967E-2</v>
      </c>
      <c r="AM48">
        <v>0.114005787406919</v>
      </c>
    </row>
    <row r="49" spans="1:39">
      <c r="A49" s="94" t="s">
        <v>120</v>
      </c>
      <c r="B49" s="52" t="s">
        <v>3</v>
      </c>
      <c r="C49" s="53">
        <v>0.21123520139084573</v>
      </c>
      <c r="D49" s="54">
        <v>5</v>
      </c>
      <c r="E49" s="55" t="s">
        <v>153</v>
      </c>
      <c r="F49" s="56">
        <v>0.91731398393564789</v>
      </c>
      <c r="G49" s="54">
        <v>5</v>
      </c>
      <c r="H49" s="57">
        <v>0.5127623006773897</v>
      </c>
      <c r="I49" s="42"/>
      <c r="P49" s="101"/>
      <c r="Q49" s="77" t="s">
        <v>164</v>
      </c>
      <c r="R49" s="69">
        <v>4.6160915922409264E-2</v>
      </c>
      <c r="S49" s="70">
        <v>12</v>
      </c>
      <c r="T49" s="78">
        <v>3.8467429935341055E-3</v>
      </c>
      <c r="U49" s="79"/>
      <c r="V49" s="57"/>
      <c r="X49" s="101" t="s">
        <v>128</v>
      </c>
      <c r="Y49" s="77" t="s">
        <v>166</v>
      </c>
      <c r="Z49" s="86"/>
      <c r="AA49" s="87"/>
      <c r="AB49" s="87"/>
      <c r="AC49" s="57"/>
      <c r="AD49" s="84"/>
      <c r="AH49" t="s">
        <v>1</v>
      </c>
      <c r="AI49">
        <v>3.2122995678779999E-3</v>
      </c>
      <c r="AJ49">
        <v>2.128527665797E-2</v>
      </c>
      <c r="AK49" s="57">
        <v>0.998</v>
      </c>
      <c r="AL49">
        <v>-6.3164960496680994E-2</v>
      </c>
      <c r="AM49">
        <v>6.9589559632235995E-2</v>
      </c>
    </row>
    <row r="50" spans="1:39" ht="23">
      <c r="A50" s="94"/>
      <c r="B50" s="52" t="s">
        <v>2</v>
      </c>
      <c r="C50" s="53">
        <v>0.25675523170569059</v>
      </c>
      <c r="D50" s="54">
        <v>5</v>
      </c>
      <c r="E50" s="55" t="s">
        <v>153</v>
      </c>
      <c r="F50" s="56">
        <v>0.87999491101400029</v>
      </c>
      <c r="G50" s="54">
        <v>5</v>
      </c>
      <c r="H50" s="57">
        <v>0.30928793504304652</v>
      </c>
      <c r="I50" s="42"/>
      <c r="P50" s="101"/>
      <c r="Q50" s="77" t="s">
        <v>165</v>
      </c>
      <c r="R50" s="69">
        <v>0.46185732798414797</v>
      </c>
      <c r="S50" s="70">
        <v>14</v>
      </c>
      <c r="T50" s="79"/>
      <c r="U50" s="79"/>
      <c r="V50" s="57"/>
      <c r="X50" s="101"/>
      <c r="Y50" s="77" t="s">
        <v>167</v>
      </c>
      <c r="Z50" s="86"/>
      <c r="AA50" s="87"/>
      <c r="AB50" s="87"/>
      <c r="AC50" s="57"/>
      <c r="AD50" s="84"/>
      <c r="AG50" t="s">
        <v>1</v>
      </c>
      <c r="AH50" t="s">
        <v>3</v>
      </c>
      <c r="AI50" t="s">
        <v>188</v>
      </c>
      <c r="AJ50">
        <v>1.4398738075935001E-2</v>
      </c>
      <c r="AK50" s="57">
        <v>4.5999999999999999E-2</v>
      </c>
      <c r="AL50">
        <v>8.6511348784899995E-4</v>
      </c>
      <c r="AM50">
        <v>9.0088305789746997E-2</v>
      </c>
    </row>
    <row r="51" spans="1:39">
      <c r="A51" s="94"/>
      <c r="B51" s="52" t="s">
        <v>1</v>
      </c>
      <c r="C51" s="53">
        <v>0.2014923055247663</v>
      </c>
      <c r="D51" s="54">
        <v>5</v>
      </c>
      <c r="E51" s="55" t="s">
        <v>153</v>
      </c>
      <c r="F51" s="56">
        <v>0.93108381497151949</v>
      </c>
      <c r="G51" s="54">
        <v>5</v>
      </c>
      <c r="H51" s="57">
        <v>0.60377993303205368</v>
      </c>
      <c r="I51" s="42"/>
      <c r="P51" s="101" t="s">
        <v>121</v>
      </c>
      <c r="Q51" s="77" t="s">
        <v>163</v>
      </c>
      <c r="R51" s="71">
        <v>10.281021351696447</v>
      </c>
      <c r="S51" s="70">
        <v>2</v>
      </c>
      <c r="T51" s="80">
        <v>5.1405106758482235</v>
      </c>
      <c r="U51" s="80">
        <v>29.030863515301967</v>
      </c>
      <c r="V51" s="57">
        <v>2.5246573599400323E-5</v>
      </c>
      <c r="X51" s="101" t="s">
        <v>129</v>
      </c>
      <c r="Y51" s="77" t="s">
        <v>166</v>
      </c>
      <c r="Z51" s="69">
        <v>0.72301324092671315</v>
      </c>
      <c r="AA51" s="70">
        <v>2</v>
      </c>
      <c r="AB51" s="80">
        <v>7.5951429595145514</v>
      </c>
      <c r="AC51" s="57">
        <v>0.5159016534829195</v>
      </c>
      <c r="AD51" s="84"/>
      <c r="AH51" t="s">
        <v>2</v>
      </c>
      <c r="AI51">
        <v>-3.2122995678779999E-3</v>
      </c>
      <c r="AJ51">
        <v>2.128527665797E-2</v>
      </c>
      <c r="AK51" s="57">
        <v>0.998</v>
      </c>
      <c r="AL51">
        <v>-6.9589559632235995E-2</v>
      </c>
      <c r="AM51">
        <v>6.3164960496680994E-2</v>
      </c>
    </row>
    <row r="52" spans="1:39" ht="23">
      <c r="A52" s="94" t="s">
        <v>121</v>
      </c>
      <c r="B52" s="52" t="s">
        <v>3</v>
      </c>
      <c r="C52" s="53">
        <v>0.27661491785230552</v>
      </c>
      <c r="D52" s="54">
        <v>5</v>
      </c>
      <c r="E52" s="55" t="s">
        <v>153</v>
      </c>
      <c r="F52" s="56">
        <v>0.91723702203160784</v>
      </c>
      <c r="G52" s="54">
        <v>5</v>
      </c>
      <c r="H52" s="57">
        <v>0.51227462595263995</v>
      </c>
      <c r="I52" s="42"/>
      <c r="P52" s="101"/>
      <c r="Q52" s="77" t="s">
        <v>164</v>
      </c>
      <c r="R52" s="71">
        <v>2.1248464785645922</v>
      </c>
      <c r="S52" s="70">
        <v>12</v>
      </c>
      <c r="T52" s="78">
        <v>0.17707053988038268</v>
      </c>
      <c r="U52" s="79"/>
      <c r="V52" s="57"/>
      <c r="X52" s="101"/>
      <c r="Y52" s="77" t="s">
        <v>167</v>
      </c>
      <c r="Z52" s="69">
        <v>0.99059511320604099</v>
      </c>
      <c r="AA52" s="70">
        <v>2</v>
      </c>
      <c r="AB52" s="80">
        <v>10.571556685530561</v>
      </c>
      <c r="AC52" s="57">
        <v>0.40334978996837145</v>
      </c>
      <c r="AD52" s="84"/>
      <c r="AF52" t="s">
        <v>184</v>
      </c>
      <c r="AG52" t="s">
        <v>3</v>
      </c>
      <c r="AH52" t="s">
        <v>2</v>
      </c>
      <c r="AI52">
        <v>-4.8689009206575998E-2</v>
      </c>
      <c r="AJ52">
        <v>1.9515122603612E-2</v>
      </c>
      <c r="AK52" s="57">
        <v>0.126</v>
      </c>
      <c r="AL52">
        <v>-0.112211356132615</v>
      </c>
      <c r="AM52">
        <v>1.4833337719663E-2</v>
      </c>
    </row>
    <row r="53" spans="1:39">
      <c r="A53" s="94"/>
      <c r="B53" s="52" t="s">
        <v>2</v>
      </c>
      <c r="C53" s="53">
        <v>0.13233985224856493</v>
      </c>
      <c r="D53" s="54">
        <v>5</v>
      </c>
      <c r="E53" s="55" t="s">
        <v>153</v>
      </c>
      <c r="F53" s="56">
        <v>0.99586377473918597</v>
      </c>
      <c r="G53" s="54">
        <v>5</v>
      </c>
      <c r="H53" s="57">
        <v>0.99566266239287304</v>
      </c>
      <c r="I53" s="42"/>
      <c r="P53" s="101"/>
      <c r="Q53" s="77" t="s">
        <v>165</v>
      </c>
      <c r="R53" s="71">
        <v>12.405867830261039</v>
      </c>
      <c r="S53" s="70">
        <v>14</v>
      </c>
      <c r="T53" s="79"/>
      <c r="U53" s="79"/>
      <c r="V53" s="57"/>
      <c r="X53" s="101" t="s">
        <v>130</v>
      </c>
      <c r="Y53" s="77" t="s">
        <v>166</v>
      </c>
      <c r="Z53" s="71">
        <v>7.839403547207759</v>
      </c>
      <c r="AA53" s="70">
        <v>2</v>
      </c>
      <c r="AB53" s="80">
        <v>6.0772044953765318</v>
      </c>
      <c r="AC53" s="57">
        <v>2.0748794538599079E-2</v>
      </c>
      <c r="AD53" s="84"/>
      <c r="AH53" t="s">
        <v>1</v>
      </c>
      <c r="AI53" t="s">
        <v>187</v>
      </c>
      <c r="AJ53">
        <v>1.4398738075935001E-2</v>
      </c>
      <c r="AK53" s="57">
        <v>4.2000000000000003E-2</v>
      </c>
      <c r="AL53">
        <v>-8.9256291061054996E-2</v>
      </c>
      <c r="AM53">
        <v>-1.697128216541E-3</v>
      </c>
    </row>
    <row r="54" spans="1:39" ht="23">
      <c r="A54" s="94"/>
      <c r="B54" s="52" t="s">
        <v>1</v>
      </c>
      <c r="C54" s="53">
        <v>0.27183318196874751</v>
      </c>
      <c r="D54" s="54">
        <v>5</v>
      </c>
      <c r="E54" s="55" t="s">
        <v>153</v>
      </c>
      <c r="F54" s="56">
        <v>0.80095279579865197</v>
      </c>
      <c r="G54" s="54">
        <v>5</v>
      </c>
      <c r="H54" s="57">
        <v>8.2494400868809534E-2</v>
      </c>
      <c r="I54" s="42"/>
      <c r="P54" s="101" t="s">
        <v>122</v>
      </c>
      <c r="Q54" s="77" t="s">
        <v>163</v>
      </c>
      <c r="R54" s="69">
        <v>0.35934711880638237</v>
      </c>
      <c r="S54" s="70">
        <v>2</v>
      </c>
      <c r="T54" s="78">
        <v>0.17967355940319119</v>
      </c>
      <c r="U54" s="80">
        <v>104.88823869135747</v>
      </c>
      <c r="V54" s="57">
        <v>2.5095427032406512E-8</v>
      </c>
      <c r="X54" s="101"/>
      <c r="Y54" s="77" t="s">
        <v>167</v>
      </c>
      <c r="Z54" s="71">
        <v>3.9730841671352164</v>
      </c>
      <c r="AA54" s="70">
        <v>2</v>
      </c>
      <c r="AB54" s="80">
        <v>6.0049292174779509</v>
      </c>
      <c r="AC54" s="57">
        <v>7.9578593091947245E-2</v>
      </c>
      <c r="AD54" s="84"/>
      <c r="AG54" t="s">
        <v>2</v>
      </c>
      <c r="AH54" t="s">
        <v>3</v>
      </c>
      <c r="AI54">
        <v>4.8689009206575998E-2</v>
      </c>
      <c r="AJ54">
        <v>1.9515122603612E-2</v>
      </c>
      <c r="AK54" s="57">
        <v>0.126</v>
      </c>
      <c r="AL54">
        <v>-1.4833337719663E-2</v>
      </c>
      <c r="AM54">
        <v>0.112211356132615</v>
      </c>
    </row>
    <row r="55" spans="1:39">
      <c r="A55" s="94" t="s">
        <v>122</v>
      </c>
      <c r="B55" s="52" t="s">
        <v>2</v>
      </c>
      <c r="C55" s="53">
        <v>0.22380790322201199</v>
      </c>
      <c r="D55" s="54">
        <v>5</v>
      </c>
      <c r="E55" s="55" t="s">
        <v>153</v>
      </c>
      <c r="F55" s="56">
        <v>0.87926447745029745</v>
      </c>
      <c r="G55" s="54">
        <v>5</v>
      </c>
      <c r="H55" s="57">
        <v>0.30599124181627418</v>
      </c>
      <c r="I55" s="42"/>
      <c r="P55" s="101"/>
      <c r="Q55" s="77" t="s">
        <v>164</v>
      </c>
      <c r="R55" s="69">
        <v>2.0556000746496949E-2</v>
      </c>
      <c r="S55" s="70">
        <v>12</v>
      </c>
      <c r="T55" s="78">
        <v>1.7130000622080791E-3</v>
      </c>
      <c r="U55" s="79"/>
      <c r="V55" s="57"/>
      <c r="X55" s="101" t="s">
        <v>131</v>
      </c>
      <c r="Y55" s="77" t="s">
        <v>166</v>
      </c>
      <c r="Z55" s="69">
        <v>0.41558606314183238</v>
      </c>
      <c r="AA55" s="70">
        <v>2</v>
      </c>
      <c r="AB55" s="80">
        <v>7.543780982328574</v>
      </c>
      <c r="AC55" s="57">
        <v>0.67418858392104641</v>
      </c>
      <c r="AD55" s="84"/>
      <c r="AH55" t="s">
        <v>1</v>
      </c>
      <c r="AI55">
        <v>3.2122995678779999E-3</v>
      </c>
      <c r="AJ55">
        <v>2.128527665797E-2</v>
      </c>
      <c r="AK55" s="57">
        <v>0.998</v>
      </c>
      <c r="AL55">
        <v>-6.1881093862558002E-2</v>
      </c>
      <c r="AM55">
        <v>6.8305692998113995E-2</v>
      </c>
    </row>
    <row r="56" spans="1:39" ht="23">
      <c r="A56" s="94"/>
      <c r="B56" s="52" t="s">
        <v>1</v>
      </c>
      <c r="C56" s="53">
        <v>0.34612813834332984</v>
      </c>
      <c r="D56" s="54">
        <v>5</v>
      </c>
      <c r="E56" s="56">
        <v>5.007047308044682E-2</v>
      </c>
      <c r="F56" s="56">
        <v>0.86401393674357763</v>
      </c>
      <c r="G56" s="54">
        <v>5</v>
      </c>
      <c r="H56" s="57">
        <v>0.24302141084189677</v>
      </c>
      <c r="I56" s="42"/>
      <c r="P56" s="101"/>
      <c r="Q56" s="77" t="s">
        <v>165</v>
      </c>
      <c r="R56" s="69">
        <v>0.37990311955287931</v>
      </c>
      <c r="S56" s="70">
        <v>14</v>
      </c>
      <c r="T56" s="79"/>
      <c r="U56" s="79"/>
      <c r="V56" s="57"/>
      <c r="X56" s="101"/>
      <c r="Y56" s="77" t="s">
        <v>167</v>
      </c>
      <c r="Z56" s="69">
        <v>0.59486825952219924</v>
      </c>
      <c r="AA56" s="70">
        <v>2</v>
      </c>
      <c r="AB56" s="80">
        <v>9.00521948043008</v>
      </c>
      <c r="AC56" s="57">
        <v>0.57193887559795076</v>
      </c>
      <c r="AD56" s="84"/>
      <c r="AG56" t="s">
        <v>1</v>
      </c>
      <c r="AH56" t="s">
        <v>3</v>
      </c>
      <c r="AI56" t="s">
        <v>188</v>
      </c>
      <c r="AJ56">
        <v>1.4398738075935001E-2</v>
      </c>
      <c r="AK56" s="57">
        <v>4.2000000000000003E-2</v>
      </c>
      <c r="AL56">
        <v>1.697128216541E-3</v>
      </c>
      <c r="AM56">
        <v>8.9256291061054996E-2</v>
      </c>
    </row>
    <row r="57" spans="1:39">
      <c r="A57" s="94" t="s">
        <v>123</v>
      </c>
      <c r="B57" s="52" t="s">
        <v>3</v>
      </c>
      <c r="C57" s="53">
        <v>0.21320790552398933</v>
      </c>
      <c r="D57" s="54">
        <v>5</v>
      </c>
      <c r="E57" s="55" t="s">
        <v>153</v>
      </c>
      <c r="F57" s="56">
        <v>0.94514903941162343</v>
      </c>
      <c r="G57" s="54">
        <v>5</v>
      </c>
      <c r="H57" s="57">
        <v>0.70253149314294405</v>
      </c>
      <c r="I57" s="42"/>
      <c r="P57" s="101" t="s">
        <v>123</v>
      </c>
      <c r="Q57" s="77" t="s">
        <v>163</v>
      </c>
      <c r="R57" s="69">
        <v>7.6131271598820147E-3</v>
      </c>
      <c r="S57" s="70">
        <v>2</v>
      </c>
      <c r="T57" s="78">
        <v>3.8065635799410073E-3</v>
      </c>
      <c r="U57" s="80">
        <v>3.5877500057473002</v>
      </c>
      <c r="V57" s="57">
        <v>6.0063037693142002E-2</v>
      </c>
      <c r="X57" s="101" t="s">
        <v>132</v>
      </c>
      <c r="Y57" s="77" t="s">
        <v>166</v>
      </c>
      <c r="Z57" s="71">
        <v>1.3866221992339893</v>
      </c>
      <c r="AA57" s="70">
        <v>2</v>
      </c>
      <c r="AB57" s="80">
        <v>6.731737092451926</v>
      </c>
      <c r="AC57" s="57">
        <v>0.31312062561682175</v>
      </c>
      <c r="AD57" s="84"/>
      <c r="AH57" t="s">
        <v>2</v>
      </c>
      <c r="AI57">
        <v>-3.2122995678779999E-3</v>
      </c>
      <c r="AJ57">
        <v>2.128527665797E-2</v>
      </c>
      <c r="AK57" s="57">
        <v>0.998</v>
      </c>
      <c r="AL57">
        <v>-6.8305692998113995E-2</v>
      </c>
      <c r="AM57">
        <v>6.1881093862558002E-2</v>
      </c>
    </row>
    <row r="58" spans="1:39" ht="23">
      <c r="A58" s="94"/>
      <c r="B58" s="52" t="s">
        <v>2</v>
      </c>
      <c r="C58" s="53">
        <v>0.41723354762804038</v>
      </c>
      <c r="D58" s="54">
        <v>5</v>
      </c>
      <c r="E58" s="56">
        <v>4.6935846644873313E-3</v>
      </c>
      <c r="F58" s="56">
        <v>0.65259956421171328</v>
      </c>
      <c r="G58" s="54">
        <v>5</v>
      </c>
      <c r="H58" s="57">
        <v>2.8569605592829771E-3</v>
      </c>
      <c r="I58" s="42"/>
      <c r="P58" s="101"/>
      <c r="Q58" s="77" t="s">
        <v>164</v>
      </c>
      <c r="R58" s="69">
        <v>1.273186896693421E-2</v>
      </c>
      <c r="S58" s="70">
        <v>12</v>
      </c>
      <c r="T58" s="78">
        <v>1.0609890805778508E-3</v>
      </c>
      <c r="U58" s="79"/>
      <c r="V58" s="57"/>
      <c r="X58" s="101"/>
      <c r="Y58" s="77" t="s">
        <v>167</v>
      </c>
      <c r="Z58" s="71">
        <v>2.2853956028877835</v>
      </c>
      <c r="AA58" s="70">
        <v>2</v>
      </c>
      <c r="AB58" s="80">
        <v>7.7159514052964999</v>
      </c>
      <c r="AC58" s="57">
        <v>0.16615236048646109</v>
      </c>
      <c r="AD58" s="84"/>
      <c r="AE58" t="s">
        <v>108</v>
      </c>
      <c r="AF58" t="s">
        <v>182</v>
      </c>
      <c r="AG58" t="s">
        <v>3</v>
      </c>
      <c r="AH58" t="s">
        <v>2</v>
      </c>
      <c r="AI58">
        <v>1.2568014362129001</v>
      </c>
      <c r="AJ58">
        <v>0.97794144372640901</v>
      </c>
      <c r="AK58" s="57">
        <v>0.43</v>
      </c>
      <c r="AL58">
        <v>-1.3522130023122101</v>
      </c>
      <c r="AM58">
        <v>3.86581587473782</v>
      </c>
    </row>
    <row r="59" spans="1:39">
      <c r="A59" s="94"/>
      <c r="B59" s="52" t="s">
        <v>1</v>
      </c>
      <c r="C59" s="53">
        <v>0.20303434305017709</v>
      </c>
      <c r="D59" s="54">
        <v>5</v>
      </c>
      <c r="E59" s="55" t="s">
        <v>153</v>
      </c>
      <c r="F59" s="56">
        <v>0.93678972621375256</v>
      </c>
      <c r="G59" s="54">
        <v>5</v>
      </c>
      <c r="H59" s="57">
        <v>0.64334000633925237</v>
      </c>
      <c r="I59" s="42"/>
      <c r="P59" s="101"/>
      <c r="Q59" s="77" t="s">
        <v>165</v>
      </c>
      <c r="R59" s="69">
        <v>2.0344996126816225E-2</v>
      </c>
      <c r="S59" s="70">
        <v>14</v>
      </c>
      <c r="T59" s="79"/>
      <c r="U59" s="79"/>
      <c r="V59" s="57"/>
      <c r="X59" s="101" t="s">
        <v>133</v>
      </c>
      <c r="Y59" s="77" t="s">
        <v>166</v>
      </c>
      <c r="Z59" s="71">
        <v>1.0598487544231914</v>
      </c>
      <c r="AA59" s="70">
        <v>2</v>
      </c>
      <c r="AB59" s="80">
        <v>7.394320654088717</v>
      </c>
      <c r="AC59" s="57">
        <v>0.39381093412541035</v>
      </c>
      <c r="AD59" s="84"/>
      <c r="AH59" t="s">
        <v>1</v>
      </c>
      <c r="AI59">
        <v>2.5679047749961401</v>
      </c>
      <c r="AJ59">
        <v>0.97794144372640901</v>
      </c>
      <c r="AK59" s="57">
        <v>5.3999999999999999E-2</v>
      </c>
      <c r="AL59">
        <v>-4.1109663528975E-2</v>
      </c>
      <c r="AM59">
        <v>5.1769192135210602</v>
      </c>
    </row>
    <row r="60" spans="1:39" ht="23">
      <c r="A60" s="94" t="s">
        <v>124</v>
      </c>
      <c r="B60" s="52" t="s">
        <v>3</v>
      </c>
      <c r="C60" s="53">
        <v>0.22954855030434795</v>
      </c>
      <c r="D60" s="54">
        <v>5</v>
      </c>
      <c r="E60" s="55" t="s">
        <v>153</v>
      </c>
      <c r="F60" s="56">
        <v>0.93666087183124347</v>
      </c>
      <c r="G60" s="54">
        <v>5</v>
      </c>
      <c r="H60" s="57">
        <v>0.64243747895652115</v>
      </c>
      <c r="I60" s="42"/>
      <c r="P60" s="101" t="s">
        <v>124</v>
      </c>
      <c r="Q60" s="77" t="s">
        <v>163</v>
      </c>
      <c r="R60" s="69">
        <v>3.2324433451246387E-3</v>
      </c>
      <c r="S60" s="70">
        <v>2</v>
      </c>
      <c r="T60" s="78">
        <v>1.6162216725623194E-3</v>
      </c>
      <c r="U60" s="80">
        <v>1.1926845648802675</v>
      </c>
      <c r="V60" s="57">
        <v>0.33694686025580162</v>
      </c>
      <c r="X60" s="101"/>
      <c r="Y60" s="77" t="s">
        <v>167</v>
      </c>
      <c r="Z60" s="71">
        <v>1.5466722980761036</v>
      </c>
      <c r="AA60" s="70">
        <v>2</v>
      </c>
      <c r="AB60" s="80">
        <v>8.335728864344393</v>
      </c>
      <c r="AC60" s="57">
        <v>0.26836228085200581</v>
      </c>
      <c r="AD60" s="84"/>
      <c r="AG60" t="s">
        <v>2</v>
      </c>
      <c r="AH60" t="s">
        <v>3</v>
      </c>
      <c r="AI60">
        <v>-1.2568014362129001</v>
      </c>
      <c r="AJ60">
        <v>0.97794144372640901</v>
      </c>
      <c r="AK60" s="57">
        <v>0.43</v>
      </c>
      <c r="AL60">
        <v>-3.86581587473782</v>
      </c>
      <c r="AM60">
        <v>1.3522130023122101</v>
      </c>
    </row>
    <row r="61" spans="1:39">
      <c r="A61" s="94"/>
      <c r="B61" s="52" t="s">
        <v>2</v>
      </c>
      <c r="C61" s="53">
        <v>0.17743974101550802</v>
      </c>
      <c r="D61" s="54">
        <v>5</v>
      </c>
      <c r="E61" s="55" t="s">
        <v>153</v>
      </c>
      <c r="F61" s="56">
        <v>0.96571953785424225</v>
      </c>
      <c r="G61" s="54">
        <v>5</v>
      </c>
      <c r="H61" s="57">
        <v>0.84713527008166423</v>
      </c>
      <c r="I61" s="42"/>
      <c r="P61" s="101"/>
      <c r="Q61" s="77" t="s">
        <v>164</v>
      </c>
      <c r="R61" s="69">
        <v>1.6261349095848192E-2</v>
      </c>
      <c r="S61" s="70">
        <v>12</v>
      </c>
      <c r="T61" s="78">
        <v>1.3551124246540161E-3</v>
      </c>
      <c r="U61" s="79"/>
      <c r="V61" s="57"/>
      <c r="X61" s="101" t="s">
        <v>134</v>
      </c>
      <c r="Y61" s="77" t="s">
        <v>166</v>
      </c>
      <c r="Z61" s="69">
        <v>0.48563100613302296</v>
      </c>
      <c r="AA61" s="70">
        <v>2</v>
      </c>
      <c r="AB61" s="80">
        <v>7.5977191243856481</v>
      </c>
      <c r="AC61" s="57">
        <v>0.63317675664118345</v>
      </c>
      <c r="AD61" s="84"/>
      <c r="AH61" t="s">
        <v>1</v>
      </c>
      <c r="AI61">
        <v>1.31110333878334</v>
      </c>
      <c r="AJ61">
        <v>0.97794144372640901</v>
      </c>
      <c r="AK61" s="57">
        <v>0.40100000000000002</v>
      </c>
      <c r="AL61">
        <v>-1.29791109974177</v>
      </c>
      <c r="AM61">
        <v>3.9201177773082598</v>
      </c>
    </row>
    <row r="62" spans="1:39" ht="23">
      <c r="A62" s="94"/>
      <c r="B62" s="52" t="s">
        <v>1</v>
      </c>
      <c r="C62" s="53">
        <v>0.34373981564657563</v>
      </c>
      <c r="D62" s="54">
        <v>5</v>
      </c>
      <c r="E62" s="56">
        <v>5.3697515045670892E-2</v>
      </c>
      <c r="F62" s="56">
        <v>0.77126661755119297</v>
      </c>
      <c r="G62" s="54">
        <v>5</v>
      </c>
      <c r="H62" s="57">
        <v>4.6288922702791287E-2</v>
      </c>
      <c r="I62" s="42"/>
      <c r="P62" s="101"/>
      <c r="Q62" s="77" t="s">
        <v>165</v>
      </c>
      <c r="R62" s="69">
        <v>1.9493792440972831E-2</v>
      </c>
      <c r="S62" s="70">
        <v>14</v>
      </c>
      <c r="T62" s="79"/>
      <c r="U62" s="79"/>
      <c r="V62" s="57"/>
      <c r="X62" s="101"/>
      <c r="Y62" s="77" t="s">
        <v>167</v>
      </c>
      <c r="Z62" s="69">
        <v>0.30752257369860159</v>
      </c>
      <c r="AA62" s="70">
        <v>2</v>
      </c>
      <c r="AB62" s="80">
        <v>8.3089424733967014</v>
      </c>
      <c r="AC62" s="57">
        <v>0.74328697676610234</v>
      </c>
      <c r="AD62" s="84"/>
      <c r="AG62" t="s">
        <v>1</v>
      </c>
      <c r="AH62" t="s">
        <v>3</v>
      </c>
      <c r="AI62">
        <v>-2.5679047749961401</v>
      </c>
      <c r="AJ62">
        <v>0.97794144372640901</v>
      </c>
      <c r="AK62" s="57">
        <v>5.3999999999999999E-2</v>
      </c>
      <c r="AL62">
        <v>-5.1769192135210602</v>
      </c>
      <c r="AM62">
        <v>4.1109663528975E-2</v>
      </c>
    </row>
    <row r="63" spans="1:39">
      <c r="A63" s="94" t="s">
        <v>125</v>
      </c>
      <c r="B63" s="52" t="s">
        <v>3</v>
      </c>
      <c r="C63" s="53">
        <v>0.35357597531086693</v>
      </c>
      <c r="D63" s="54">
        <v>5</v>
      </c>
      <c r="E63" s="56">
        <v>4.0098776253019178E-2</v>
      </c>
      <c r="F63" s="56">
        <v>0.76045697496979459</v>
      </c>
      <c r="G63" s="54">
        <v>5</v>
      </c>
      <c r="H63" s="57">
        <v>3.7090402900141484E-2</v>
      </c>
      <c r="I63" s="42"/>
      <c r="P63" s="101" t="s">
        <v>125</v>
      </c>
      <c r="Q63" s="77" t="s">
        <v>163</v>
      </c>
      <c r="R63" s="69">
        <v>0.16708984985159958</v>
      </c>
      <c r="S63" s="70">
        <v>2</v>
      </c>
      <c r="T63" s="78">
        <v>8.3544924925799791E-2</v>
      </c>
      <c r="U63" s="80">
        <v>3.3387372628873999</v>
      </c>
      <c r="V63" s="57">
        <v>7.0336144689893854E-2</v>
      </c>
      <c r="X63" s="101" t="s">
        <v>135</v>
      </c>
      <c r="Y63" s="77" t="s">
        <v>166</v>
      </c>
      <c r="Z63" s="86"/>
      <c r="AA63" s="87"/>
      <c r="AB63" s="87"/>
      <c r="AC63" s="57"/>
      <c r="AD63" s="84"/>
      <c r="AH63" t="s">
        <v>2</v>
      </c>
      <c r="AI63">
        <v>-1.31110333878334</v>
      </c>
      <c r="AJ63">
        <v>0.97794144372640901</v>
      </c>
      <c r="AK63" s="57">
        <v>0.40100000000000002</v>
      </c>
      <c r="AL63">
        <v>-3.9201177773082598</v>
      </c>
      <c r="AM63">
        <v>1.29791109974177</v>
      </c>
    </row>
    <row r="64" spans="1:39" ht="23">
      <c r="A64" s="94"/>
      <c r="B64" s="52" t="s">
        <v>2</v>
      </c>
      <c r="C64" s="53">
        <v>0.25437557374318231</v>
      </c>
      <c r="D64" s="54">
        <v>5</v>
      </c>
      <c r="E64" s="55" t="s">
        <v>153</v>
      </c>
      <c r="F64" s="56">
        <v>0.79587228663039777</v>
      </c>
      <c r="G64" s="54">
        <v>5</v>
      </c>
      <c r="H64" s="57">
        <v>7.4962581137320905E-2</v>
      </c>
      <c r="I64" s="42"/>
      <c r="P64" s="101"/>
      <c r="Q64" s="77" t="s">
        <v>164</v>
      </c>
      <c r="R64" s="69">
        <v>0.30027493036172115</v>
      </c>
      <c r="S64" s="70">
        <v>12</v>
      </c>
      <c r="T64" s="78">
        <v>2.5022910863476761E-2</v>
      </c>
      <c r="U64" s="79"/>
      <c r="V64" s="57"/>
      <c r="X64" s="101"/>
      <c r="Y64" s="77" t="s">
        <v>167</v>
      </c>
      <c r="Z64" s="86"/>
      <c r="AA64" s="87"/>
      <c r="AB64" s="87"/>
      <c r="AC64" s="57"/>
      <c r="AD64" s="84"/>
      <c r="AF64" t="s">
        <v>183</v>
      </c>
      <c r="AG64" t="s">
        <v>3</v>
      </c>
      <c r="AH64" t="s">
        <v>2</v>
      </c>
      <c r="AI64">
        <v>1.2568014362129001</v>
      </c>
      <c r="AJ64">
        <v>0.99156797491302895</v>
      </c>
      <c r="AK64" s="57">
        <v>0.57699999999999996</v>
      </c>
      <c r="AL64">
        <v>-1.9175543958199299</v>
      </c>
      <c r="AM64">
        <v>4.4311572682455402</v>
      </c>
    </row>
    <row r="65" spans="1:39">
      <c r="A65" s="94"/>
      <c r="B65" s="52" t="s">
        <v>1</v>
      </c>
      <c r="C65" s="53">
        <v>0.28444045717538924</v>
      </c>
      <c r="D65" s="54">
        <v>5</v>
      </c>
      <c r="E65" s="55" t="s">
        <v>153</v>
      </c>
      <c r="F65" s="56">
        <v>0.76373527037061517</v>
      </c>
      <c r="G65" s="54">
        <v>5</v>
      </c>
      <c r="H65" s="57">
        <v>3.9693358110746001E-2</v>
      </c>
      <c r="I65" s="42"/>
      <c r="P65" s="101"/>
      <c r="Q65" s="77" t="s">
        <v>165</v>
      </c>
      <c r="R65" s="69">
        <v>0.46736478021332073</v>
      </c>
      <c r="S65" s="70">
        <v>14</v>
      </c>
      <c r="T65" s="79"/>
      <c r="U65" s="79"/>
      <c r="V65" s="57"/>
      <c r="X65" s="101" t="s">
        <v>136</v>
      </c>
      <c r="Y65" s="77" t="s">
        <v>166</v>
      </c>
      <c r="Z65" s="69">
        <v>0.22616979175431148</v>
      </c>
      <c r="AA65" s="70">
        <v>2</v>
      </c>
      <c r="AB65" s="80">
        <v>7.9019945698879654</v>
      </c>
      <c r="AC65" s="57">
        <v>0.80257233589606003</v>
      </c>
      <c r="AD65" s="84"/>
      <c r="AH65" t="s">
        <v>1</v>
      </c>
      <c r="AI65">
        <v>2.5679047749961401</v>
      </c>
      <c r="AJ65">
        <v>1.0898619100517599</v>
      </c>
      <c r="AK65" s="57">
        <v>0.13700000000000001</v>
      </c>
      <c r="AL65">
        <v>-0.754530497297628</v>
      </c>
      <c r="AM65">
        <v>5.8903400472897101</v>
      </c>
    </row>
    <row r="66" spans="1:39" ht="23">
      <c r="A66" s="94" t="s">
        <v>126</v>
      </c>
      <c r="B66" s="52" t="s">
        <v>3</v>
      </c>
      <c r="C66" s="53">
        <v>0.32486227170720744</v>
      </c>
      <c r="D66" s="54">
        <v>5</v>
      </c>
      <c r="E66" s="56">
        <v>9.1308093595764278E-2</v>
      </c>
      <c r="F66" s="56">
        <v>0.76774017972782049</v>
      </c>
      <c r="G66" s="54">
        <v>5</v>
      </c>
      <c r="H66" s="57">
        <v>4.3089928725566565E-2</v>
      </c>
      <c r="I66" s="42"/>
      <c r="P66" s="101" t="s">
        <v>126</v>
      </c>
      <c r="Q66" s="77" t="s">
        <v>163</v>
      </c>
      <c r="R66" s="69">
        <v>4.4572723613263511E-2</v>
      </c>
      <c r="S66" s="70">
        <v>2</v>
      </c>
      <c r="T66" s="78">
        <v>2.2286361806631756E-2</v>
      </c>
      <c r="U66" s="78">
        <v>0.91295173398767948</v>
      </c>
      <c r="V66" s="57">
        <v>0.42749038813845186</v>
      </c>
      <c r="X66" s="101"/>
      <c r="Y66" s="77" t="s">
        <v>167</v>
      </c>
      <c r="Z66" s="69">
        <v>0.22339654832765818</v>
      </c>
      <c r="AA66" s="70">
        <v>2</v>
      </c>
      <c r="AB66" s="80">
        <v>11.482026204645145</v>
      </c>
      <c r="AC66" s="57">
        <v>0.80319346705684713</v>
      </c>
      <c r="AD66" s="84"/>
      <c r="AG66" t="s">
        <v>2</v>
      </c>
      <c r="AH66" t="s">
        <v>3</v>
      </c>
      <c r="AI66">
        <v>-1.2568014362129001</v>
      </c>
      <c r="AJ66">
        <v>0.99156797491302895</v>
      </c>
      <c r="AK66" s="57">
        <v>0.57699999999999996</v>
      </c>
      <c r="AL66">
        <v>-4.4311572682455402</v>
      </c>
      <c r="AM66">
        <v>1.9175543958199299</v>
      </c>
    </row>
    <row r="67" spans="1:39">
      <c r="A67" s="94"/>
      <c r="B67" s="52" t="s">
        <v>2</v>
      </c>
      <c r="C67" s="53">
        <v>0.2449349024657177</v>
      </c>
      <c r="D67" s="54">
        <v>5</v>
      </c>
      <c r="E67" s="55" t="s">
        <v>153</v>
      </c>
      <c r="F67" s="56">
        <v>0.92922066090059208</v>
      </c>
      <c r="G67" s="54">
        <v>5</v>
      </c>
      <c r="H67" s="57">
        <v>0.59106561286558446</v>
      </c>
      <c r="I67" s="42"/>
      <c r="P67" s="101"/>
      <c r="Q67" s="77" t="s">
        <v>164</v>
      </c>
      <c r="R67" s="69">
        <v>0.29293590419226939</v>
      </c>
      <c r="S67" s="70">
        <v>12</v>
      </c>
      <c r="T67" s="78">
        <v>2.4411325349355781E-2</v>
      </c>
      <c r="U67" s="79"/>
      <c r="V67" s="57"/>
      <c r="X67" s="101" t="s">
        <v>137</v>
      </c>
      <c r="Y67" s="77" t="s">
        <v>166</v>
      </c>
      <c r="Z67" s="69">
        <v>0.89596699528744184</v>
      </c>
      <c r="AA67" s="70">
        <v>2</v>
      </c>
      <c r="AB67" s="80">
        <v>7.9647875732273716</v>
      </c>
      <c r="AC67" s="57">
        <v>0.44568988171114454</v>
      </c>
      <c r="AD67" s="84"/>
      <c r="AH67" t="s">
        <v>1</v>
      </c>
      <c r="AI67">
        <v>1.31110333878334</v>
      </c>
      <c r="AJ67">
        <v>0.83552520621359105</v>
      </c>
      <c r="AK67" s="57">
        <v>0.40400000000000003</v>
      </c>
      <c r="AL67">
        <v>-1.2543125697641</v>
      </c>
      <c r="AM67">
        <v>3.8765192473305801</v>
      </c>
    </row>
    <row r="68" spans="1:39" ht="23">
      <c r="A68" s="94"/>
      <c r="B68" s="52" t="s">
        <v>1</v>
      </c>
      <c r="C68" s="53">
        <v>0.29614849102969321</v>
      </c>
      <c r="D68" s="54">
        <v>5</v>
      </c>
      <c r="E68" s="56">
        <v>0.17446967489395276</v>
      </c>
      <c r="F68" s="56">
        <v>0.85630897319259935</v>
      </c>
      <c r="G68" s="54">
        <v>5</v>
      </c>
      <c r="H68" s="57">
        <v>0.21529681163851999</v>
      </c>
      <c r="I68" s="42"/>
      <c r="P68" s="101"/>
      <c r="Q68" s="77" t="s">
        <v>165</v>
      </c>
      <c r="R68" s="69">
        <v>0.33750862780553292</v>
      </c>
      <c r="S68" s="70">
        <v>14</v>
      </c>
      <c r="T68" s="79"/>
      <c r="U68" s="79"/>
      <c r="V68" s="57"/>
      <c r="X68" s="101"/>
      <c r="Y68" s="77" t="s">
        <v>167</v>
      </c>
      <c r="Z68" s="69">
        <v>0.92238975764588882</v>
      </c>
      <c r="AA68" s="70">
        <v>2</v>
      </c>
      <c r="AB68" s="80">
        <v>11.760243387196335</v>
      </c>
      <c r="AC68" s="57">
        <v>0.42451051403184792</v>
      </c>
      <c r="AD68" s="84"/>
      <c r="AG68" t="s">
        <v>1</v>
      </c>
      <c r="AH68" t="s">
        <v>3</v>
      </c>
      <c r="AI68">
        <v>-2.5679047749961401</v>
      </c>
      <c r="AJ68">
        <v>1.0898619100517599</v>
      </c>
      <c r="AK68" s="57">
        <v>0.13700000000000001</v>
      </c>
      <c r="AL68">
        <v>-5.8903400472897101</v>
      </c>
      <c r="AM68">
        <v>0.754530497297628</v>
      </c>
    </row>
    <row r="69" spans="1:39">
      <c r="A69" s="94" t="s">
        <v>127</v>
      </c>
      <c r="B69" s="52" t="s">
        <v>2</v>
      </c>
      <c r="C69" s="53">
        <v>0.25450554577972967</v>
      </c>
      <c r="D69" s="54">
        <v>5</v>
      </c>
      <c r="E69" s="55" t="s">
        <v>153</v>
      </c>
      <c r="F69" s="56">
        <v>0.85407285310527303</v>
      </c>
      <c r="G69" s="54">
        <v>5</v>
      </c>
      <c r="H69" s="57">
        <v>0.2077388441176358</v>
      </c>
      <c r="I69" s="42"/>
      <c r="P69" s="101" t="s">
        <v>127</v>
      </c>
      <c r="Q69" s="77" t="s">
        <v>163</v>
      </c>
      <c r="R69" s="69">
        <v>5.5537091845935603E-2</v>
      </c>
      <c r="S69" s="70">
        <v>2</v>
      </c>
      <c r="T69" s="78">
        <v>2.7768545922967802E-2</v>
      </c>
      <c r="U69" s="80">
        <v>23.718367676410971</v>
      </c>
      <c r="V69" s="57">
        <v>6.7726369125009077E-5</v>
      </c>
      <c r="X69" s="101" t="s">
        <v>46</v>
      </c>
      <c r="Y69" s="77" t="s">
        <v>166</v>
      </c>
      <c r="Z69" s="71">
        <v>2.2627057250218354</v>
      </c>
      <c r="AA69" s="70">
        <v>2</v>
      </c>
      <c r="AB69" s="80">
        <v>7.3350606809825898</v>
      </c>
      <c r="AC69" s="57">
        <v>0.17162983147095107</v>
      </c>
      <c r="AD69" s="84"/>
      <c r="AH69" t="s">
        <v>2</v>
      </c>
      <c r="AI69">
        <v>-1.31110333878334</v>
      </c>
      <c r="AJ69">
        <v>0.83552520621359105</v>
      </c>
      <c r="AK69" s="57">
        <v>0.40400000000000003</v>
      </c>
      <c r="AL69">
        <v>-3.8765192473305801</v>
      </c>
      <c r="AM69">
        <v>1.2543125697641</v>
      </c>
    </row>
    <row r="70" spans="1:39" ht="23">
      <c r="A70" s="94"/>
      <c r="B70" s="52" t="s">
        <v>1</v>
      </c>
      <c r="C70" s="53">
        <v>0.31235778544341453</v>
      </c>
      <c r="D70" s="54">
        <v>5</v>
      </c>
      <c r="E70" s="56">
        <v>0.12468529077781089</v>
      </c>
      <c r="F70" s="56">
        <v>0.78783633847152357</v>
      </c>
      <c r="G70" s="54">
        <v>5</v>
      </c>
      <c r="H70" s="57">
        <v>6.4258154011841706E-2</v>
      </c>
      <c r="I70" s="42"/>
      <c r="P70" s="101"/>
      <c r="Q70" s="77" t="s">
        <v>164</v>
      </c>
      <c r="R70" s="69">
        <v>1.4049135067883236E-2</v>
      </c>
      <c r="S70" s="70">
        <v>12</v>
      </c>
      <c r="T70" s="78">
        <v>1.1707612556569364E-3</v>
      </c>
      <c r="U70" s="79"/>
      <c r="V70" s="57"/>
      <c r="X70" s="101"/>
      <c r="Y70" s="77" t="s">
        <v>167</v>
      </c>
      <c r="Z70" s="71">
        <v>1.9848773244953384</v>
      </c>
      <c r="AA70" s="70">
        <v>2</v>
      </c>
      <c r="AB70" s="80">
        <v>9.2190151626600461</v>
      </c>
      <c r="AC70" s="57">
        <v>0.19192453237357651</v>
      </c>
      <c r="AD70" s="84"/>
      <c r="AF70" t="s">
        <v>184</v>
      </c>
      <c r="AG70" t="s">
        <v>3</v>
      </c>
      <c r="AH70" t="s">
        <v>2</v>
      </c>
      <c r="AI70">
        <v>1.2568014362129001</v>
      </c>
      <c r="AJ70">
        <v>0.99156797491302895</v>
      </c>
      <c r="AK70" s="57">
        <v>0.53900000000000003</v>
      </c>
      <c r="AL70">
        <v>-1.84697191989734</v>
      </c>
      <c r="AM70">
        <v>4.3605747923229501</v>
      </c>
    </row>
    <row r="71" spans="1:39">
      <c r="A71" s="51" t="s">
        <v>128</v>
      </c>
      <c r="B71" s="52" t="s">
        <v>1</v>
      </c>
      <c r="C71" s="53">
        <v>0.24384359577611092</v>
      </c>
      <c r="D71" s="54">
        <v>5</v>
      </c>
      <c r="E71" s="55" t="s">
        <v>153</v>
      </c>
      <c r="F71" s="56">
        <v>0.88747575123817768</v>
      </c>
      <c r="G71" s="54">
        <v>5</v>
      </c>
      <c r="H71" s="57">
        <v>0.34456952330735902</v>
      </c>
      <c r="I71" s="42"/>
      <c r="P71" s="101"/>
      <c r="Q71" s="77" t="s">
        <v>165</v>
      </c>
      <c r="R71" s="69">
        <v>6.9586226913818841E-2</v>
      </c>
      <c r="S71" s="70">
        <v>14</v>
      </c>
      <c r="T71" s="79"/>
      <c r="U71" s="79"/>
      <c r="V71" s="57"/>
      <c r="X71" s="101" t="s">
        <v>92</v>
      </c>
      <c r="Y71" s="77" t="s">
        <v>166</v>
      </c>
      <c r="Z71" s="71">
        <v>1.1920756897699931</v>
      </c>
      <c r="AA71" s="70">
        <v>2</v>
      </c>
      <c r="AB71" s="80">
        <v>7.8230675116326642</v>
      </c>
      <c r="AC71" s="57">
        <v>0.35326379972367372</v>
      </c>
      <c r="AD71" s="84"/>
      <c r="AH71" t="s">
        <v>1</v>
      </c>
      <c r="AI71">
        <v>2.5679047749961401</v>
      </c>
      <c r="AJ71">
        <v>1.0898619100517599</v>
      </c>
      <c r="AK71" s="57">
        <v>0.126</v>
      </c>
      <c r="AL71">
        <v>-0.69816981536324096</v>
      </c>
      <c r="AM71">
        <v>5.8339793653553302</v>
      </c>
    </row>
    <row r="72" spans="1:39" ht="23">
      <c r="A72" s="94" t="s">
        <v>129</v>
      </c>
      <c r="B72" s="52" t="s">
        <v>3</v>
      </c>
      <c r="C72" s="53">
        <v>0.35519546064836738</v>
      </c>
      <c r="D72" s="54">
        <v>5</v>
      </c>
      <c r="E72" s="56">
        <v>3.8177774208426683E-2</v>
      </c>
      <c r="F72" s="56">
        <v>0.76918194409125462</v>
      </c>
      <c r="G72" s="54">
        <v>5</v>
      </c>
      <c r="H72" s="57">
        <v>4.4373619154978602E-2</v>
      </c>
      <c r="I72" s="42"/>
      <c r="P72" s="101" t="s">
        <v>128</v>
      </c>
      <c r="Q72" s="77" t="s">
        <v>163</v>
      </c>
      <c r="R72" s="69">
        <v>5.0196201049298082E-2</v>
      </c>
      <c r="S72" s="70">
        <v>2</v>
      </c>
      <c r="T72" s="78">
        <v>2.5098100524649041E-2</v>
      </c>
      <c r="U72" s="80">
        <v>353.58073032206818</v>
      </c>
      <c r="V72" s="57">
        <v>2.158385632449278E-11</v>
      </c>
      <c r="X72" s="101"/>
      <c r="Y72" s="77" t="s">
        <v>167</v>
      </c>
      <c r="Z72" s="71">
        <v>1.2621842411989252</v>
      </c>
      <c r="AA72" s="70">
        <v>2</v>
      </c>
      <c r="AB72" s="80">
        <v>11.296335268794035</v>
      </c>
      <c r="AC72" s="57">
        <v>0.32008284593705139</v>
      </c>
      <c r="AD72" s="84"/>
      <c r="AG72" t="s">
        <v>2</v>
      </c>
      <c r="AH72" t="s">
        <v>3</v>
      </c>
      <c r="AI72">
        <v>-1.2568014362129001</v>
      </c>
      <c r="AJ72">
        <v>0.99156797491302895</v>
      </c>
      <c r="AK72" s="57">
        <v>0.53900000000000003</v>
      </c>
      <c r="AL72">
        <v>-4.3605747923229501</v>
      </c>
      <c r="AM72">
        <v>1.84697191989734</v>
      </c>
    </row>
    <row r="73" spans="1:39">
      <c r="A73" s="94"/>
      <c r="B73" s="52" t="s">
        <v>2</v>
      </c>
      <c r="C73" s="53">
        <v>0.21771044443079821</v>
      </c>
      <c r="D73" s="54">
        <v>5</v>
      </c>
      <c r="E73" s="55" t="s">
        <v>153</v>
      </c>
      <c r="F73" s="56">
        <v>0.93390705254551543</v>
      </c>
      <c r="G73" s="54">
        <v>5</v>
      </c>
      <c r="H73" s="57">
        <v>0.62324494729145552</v>
      </c>
      <c r="I73" s="42"/>
      <c r="P73" s="101"/>
      <c r="Q73" s="77" t="s">
        <v>164</v>
      </c>
      <c r="R73" s="69">
        <v>8.5179191191062196E-4</v>
      </c>
      <c r="S73" s="70">
        <v>12</v>
      </c>
      <c r="T73" s="78">
        <v>7.0982659325885168E-5</v>
      </c>
      <c r="U73" s="79"/>
      <c r="V73" s="57"/>
      <c r="X73" s="101" t="s">
        <v>93</v>
      </c>
      <c r="Y73" s="77" t="s">
        <v>166</v>
      </c>
      <c r="Z73" s="69">
        <v>0.73275560473877255</v>
      </c>
      <c r="AA73" s="70">
        <v>2</v>
      </c>
      <c r="AB73" s="80">
        <v>7.145417197415763</v>
      </c>
      <c r="AC73" s="57">
        <v>0.51348837905734257</v>
      </c>
      <c r="AD73" s="84"/>
      <c r="AH73" t="s">
        <v>1</v>
      </c>
      <c r="AI73">
        <v>1.31110333878334</v>
      </c>
      <c r="AJ73">
        <v>0.83552520621359105</v>
      </c>
      <c r="AK73" s="57">
        <v>0.375</v>
      </c>
      <c r="AL73">
        <v>-1.20889915340082</v>
      </c>
      <c r="AM73">
        <v>3.8311058309672998</v>
      </c>
    </row>
    <row r="74" spans="1:39" ht="23">
      <c r="A74" s="94"/>
      <c r="B74" s="52" t="s">
        <v>1</v>
      </c>
      <c r="C74" s="53">
        <v>0.3657290667766967</v>
      </c>
      <c r="D74" s="54">
        <v>5</v>
      </c>
      <c r="E74" s="56">
        <v>2.7548785207380234E-2</v>
      </c>
      <c r="F74" s="56">
        <v>0.75699539121992299</v>
      </c>
      <c r="G74" s="54">
        <v>5</v>
      </c>
      <c r="H74" s="57">
        <v>3.4506064252025785E-2</v>
      </c>
      <c r="I74" s="42"/>
      <c r="P74" s="101"/>
      <c r="Q74" s="77" t="s">
        <v>165</v>
      </c>
      <c r="R74" s="69">
        <v>5.1047992961208703E-2</v>
      </c>
      <c r="S74" s="70">
        <v>14</v>
      </c>
      <c r="T74" s="79"/>
      <c r="U74" s="79"/>
      <c r="V74" s="57"/>
      <c r="X74" s="101"/>
      <c r="Y74" s="77" t="s">
        <v>167</v>
      </c>
      <c r="Z74" s="69">
        <v>0.99692611381532237</v>
      </c>
      <c r="AA74" s="70">
        <v>2</v>
      </c>
      <c r="AB74" s="80">
        <v>9.8257000460481105</v>
      </c>
      <c r="AC74" s="57">
        <v>0.4034642696697488</v>
      </c>
      <c r="AD74" s="84"/>
      <c r="AG74" t="s">
        <v>1</v>
      </c>
      <c r="AH74" t="s">
        <v>3</v>
      </c>
      <c r="AI74">
        <v>-2.5679047749961401</v>
      </c>
      <c r="AJ74">
        <v>1.0898619100517599</v>
      </c>
      <c r="AK74" s="57">
        <v>0.126</v>
      </c>
      <c r="AL74">
        <v>-5.8339793653553302</v>
      </c>
      <c r="AM74">
        <v>0.69816981536324096</v>
      </c>
    </row>
    <row r="75" spans="1:39">
      <c r="A75" s="94" t="s">
        <v>130</v>
      </c>
      <c r="B75" s="52" t="s">
        <v>3</v>
      </c>
      <c r="C75" s="53">
        <v>0.24900716675398249</v>
      </c>
      <c r="D75" s="54">
        <v>5</v>
      </c>
      <c r="E75" s="55" t="s">
        <v>153</v>
      </c>
      <c r="F75" s="56">
        <v>0.87470232904646394</v>
      </c>
      <c r="G75" s="54">
        <v>5</v>
      </c>
      <c r="H75" s="57">
        <v>0.28599000905470651</v>
      </c>
      <c r="I75" s="42"/>
      <c r="P75" s="101" t="s">
        <v>129</v>
      </c>
      <c r="Q75" s="77" t="s">
        <v>163</v>
      </c>
      <c r="R75" s="71">
        <v>14.392010593946729</v>
      </c>
      <c r="S75" s="70">
        <v>2</v>
      </c>
      <c r="T75" s="80">
        <v>7.1960052969733646</v>
      </c>
      <c r="U75" s="78">
        <v>0.99059511320604121</v>
      </c>
      <c r="V75" s="57">
        <v>0.3997814216327813</v>
      </c>
      <c r="X75" s="101" t="s">
        <v>94</v>
      </c>
      <c r="Y75" s="77" t="s">
        <v>166</v>
      </c>
      <c r="Z75" s="69">
        <v>0.45284876254058232</v>
      </c>
      <c r="AA75" s="70">
        <v>2</v>
      </c>
      <c r="AB75" s="80">
        <v>7.6439220878699992</v>
      </c>
      <c r="AC75" s="57">
        <v>0.6518324352300171</v>
      </c>
      <c r="AD75" s="84"/>
      <c r="AH75" t="s">
        <v>2</v>
      </c>
      <c r="AI75">
        <v>-1.31110333878334</v>
      </c>
      <c r="AJ75">
        <v>0.83552520621359105</v>
      </c>
      <c r="AK75" s="57">
        <v>0.375</v>
      </c>
      <c r="AL75">
        <v>-3.8311058309672998</v>
      </c>
      <c r="AM75">
        <v>1.20889915340082</v>
      </c>
    </row>
    <row r="76" spans="1:39" ht="23">
      <c r="A76" s="94"/>
      <c r="B76" s="52" t="s">
        <v>2</v>
      </c>
      <c r="C76" s="53">
        <v>0.23300097686586763</v>
      </c>
      <c r="D76" s="54">
        <v>5</v>
      </c>
      <c r="E76" s="55" t="s">
        <v>153</v>
      </c>
      <c r="F76" s="56">
        <v>0.91921100593139948</v>
      </c>
      <c r="G76" s="54">
        <v>5</v>
      </c>
      <c r="H76" s="57">
        <v>0.52486259944477776</v>
      </c>
      <c r="I76" s="42"/>
      <c r="P76" s="101"/>
      <c r="Q76" s="77" t="s">
        <v>164</v>
      </c>
      <c r="R76" s="71">
        <v>87.171905466203697</v>
      </c>
      <c r="S76" s="70">
        <v>12</v>
      </c>
      <c r="T76" s="80">
        <v>7.2643254555169747</v>
      </c>
      <c r="U76" s="79"/>
      <c r="V76" s="57"/>
      <c r="X76" s="101"/>
      <c r="Y76" s="77" t="s">
        <v>167</v>
      </c>
      <c r="Z76" s="69">
        <v>0.52244978641355122</v>
      </c>
      <c r="AA76" s="70">
        <v>2</v>
      </c>
      <c r="AB76" s="80">
        <v>9.8649198171549557</v>
      </c>
      <c r="AC76" s="57">
        <v>0.60860163709285309</v>
      </c>
      <c r="AD76" s="84"/>
      <c r="AE76" t="s">
        <v>109</v>
      </c>
      <c r="AF76" t="s">
        <v>182</v>
      </c>
      <c r="AG76" t="s">
        <v>3</v>
      </c>
      <c r="AH76" t="s">
        <v>2</v>
      </c>
      <c r="AI76">
        <v>-1.80904628257638</v>
      </c>
      <c r="AJ76">
        <v>1.37529801139159</v>
      </c>
      <c r="AK76" s="57">
        <v>0.41399999999999998</v>
      </c>
      <c r="AL76">
        <v>-5.47815386771234</v>
      </c>
      <c r="AM76">
        <v>1.8600613025597601</v>
      </c>
    </row>
    <row r="77" spans="1:39">
      <c r="A77" s="94"/>
      <c r="B77" s="52" t="s">
        <v>1</v>
      </c>
      <c r="C77" s="53">
        <v>0.29830160850335274</v>
      </c>
      <c r="D77" s="54">
        <v>5</v>
      </c>
      <c r="E77" s="56">
        <v>0.16677996963088301</v>
      </c>
      <c r="F77" s="56">
        <v>0.80527182480766601</v>
      </c>
      <c r="G77" s="54">
        <v>5</v>
      </c>
      <c r="H77" s="57">
        <v>8.9398691747436851E-2</v>
      </c>
      <c r="I77" s="42"/>
      <c r="P77" s="101"/>
      <c r="Q77" s="77" t="s">
        <v>165</v>
      </c>
      <c r="R77" s="71">
        <v>101.56391606015043</v>
      </c>
      <c r="S77" s="70">
        <v>14</v>
      </c>
      <c r="T77" s="79"/>
      <c r="U77" s="79"/>
      <c r="V77" s="57"/>
      <c r="X77" s="101" t="s">
        <v>138</v>
      </c>
      <c r="Y77" s="77" t="s">
        <v>166</v>
      </c>
      <c r="Z77" s="71">
        <v>1.9435497331015648</v>
      </c>
      <c r="AA77" s="70">
        <v>2</v>
      </c>
      <c r="AB77" s="80">
        <v>7.5533247765628344</v>
      </c>
      <c r="AC77" s="57">
        <v>0.20847442039590988</v>
      </c>
      <c r="AD77" s="84"/>
      <c r="AH77" t="s">
        <v>1</v>
      </c>
      <c r="AI77">
        <v>-2.4581451693067802</v>
      </c>
      <c r="AJ77">
        <v>1.37529801139159</v>
      </c>
      <c r="AK77" s="57">
        <v>0.215</v>
      </c>
      <c r="AL77">
        <v>-6.12725275444273</v>
      </c>
      <c r="AM77">
        <v>1.2109624158293699</v>
      </c>
    </row>
    <row r="78" spans="1:39" ht="23">
      <c r="A78" s="94" t="s">
        <v>131</v>
      </c>
      <c r="B78" s="52" t="s">
        <v>3</v>
      </c>
      <c r="C78" s="53">
        <v>0.35765993453650191</v>
      </c>
      <c r="D78" s="54">
        <v>5</v>
      </c>
      <c r="E78" s="56">
        <v>3.5410115231757369E-2</v>
      </c>
      <c r="F78" s="56">
        <v>0.77148603219927958</v>
      </c>
      <c r="G78" s="54">
        <v>5</v>
      </c>
      <c r="H78" s="57">
        <v>4.6494656681090554E-2</v>
      </c>
      <c r="I78" s="42"/>
      <c r="P78" s="101" t="s">
        <v>130</v>
      </c>
      <c r="Q78" s="77" t="s">
        <v>163</v>
      </c>
      <c r="R78" s="69">
        <v>0.47797518304864239</v>
      </c>
      <c r="S78" s="70">
        <v>2</v>
      </c>
      <c r="T78" s="78">
        <v>0.2389875915243212</v>
      </c>
      <c r="U78" s="80">
        <v>3.9730841671352168</v>
      </c>
      <c r="V78" s="57">
        <v>4.7416620421517348E-2</v>
      </c>
      <c r="X78" s="101"/>
      <c r="Y78" s="77" t="s">
        <v>167</v>
      </c>
      <c r="Z78" s="71">
        <v>2.079511453584626</v>
      </c>
      <c r="AA78" s="70">
        <v>2</v>
      </c>
      <c r="AB78" s="80">
        <v>10.096141013329333</v>
      </c>
      <c r="AC78" s="57">
        <v>0.17527266525134463</v>
      </c>
      <c r="AD78" s="84"/>
      <c r="AG78" t="s">
        <v>2</v>
      </c>
      <c r="AH78" t="s">
        <v>3</v>
      </c>
      <c r="AI78">
        <v>1.80904628257638</v>
      </c>
      <c r="AJ78">
        <v>1.37529801139159</v>
      </c>
      <c r="AK78" s="57">
        <v>0.41399999999999998</v>
      </c>
      <c r="AL78">
        <v>-1.8600613025597601</v>
      </c>
      <c r="AM78">
        <v>5.47815386771234</v>
      </c>
    </row>
    <row r="79" spans="1:39">
      <c r="A79" s="94"/>
      <c r="B79" s="52" t="s">
        <v>2</v>
      </c>
      <c r="C79" s="53">
        <v>0.47263957699071152</v>
      </c>
      <c r="D79" s="54">
        <v>5</v>
      </c>
      <c r="E79" s="56">
        <v>5.0620812642838172E-4</v>
      </c>
      <c r="F79" s="56">
        <v>0.55218168308690341</v>
      </c>
      <c r="G79" s="54">
        <v>5</v>
      </c>
      <c r="H79" s="57">
        <v>1.3097817585188058E-4</v>
      </c>
      <c r="I79" s="42"/>
      <c r="P79" s="101"/>
      <c r="Q79" s="77" t="s">
        <v>164</v>
      </c>
      <c r="R79" s="69">
        <v>0.72181987031996653</v>
      </c>
      <c r="S79" s="70">
        <v>12</v>
      </c>
      <c r="T79" s="78">
        <v>6.0151655859997211E-2</v>
      </c>
      <c r="U79" s="79"/>
      <c r="V79" s="57"/>
      <c r="X79" s="101" t="s">
        <v>139</v>
      </c>
      <c r="Y79" s="77" t="s">
        <v>166</v>
      </c>
      <c r="Z79" s="71">
        <v>22.892501093542116</v>
      </c>
      <c r="AA79" s="70">
        <v>2</v>
      </c>
      <c r="AB79" s="80">
        <v>6.4421953526647622</v>
      </c>
      <c r="AC79" s="57">
        <v>1.1815824785797815E-3</v>
      </c>
      <c r="AD79" s="84"/>
      <c r="AH79" t="s">
        <v>1</v>
      </c>
      <c r="AI79">
        <v>-0.64909888673049598</v>
      </c>
      <c r="AJ79">
        <v>1.37529801139159</v>
      </c>
      <c r="AK79" s="57">
        <v>0.88600000000000001</v>
      </c>
      <c r="AL79">
        <v>-4.3182064718664499</v>
      </c>
      <c r="AM79">
        <v>3.02000869840565</v>
      </c>
    </row>
    <row r="80" spans="1:39" ht="23">
      <c r="A80" s="94"/>
      <c r="B80" s="52" t="s">
        <v>1</v>
      </c>
      <c r="C80" s="53">
        <v>0.47263957699071152</v>
      </c>
      <c r="D80" s="54">
        <v>5</v>
      </c>
      <c r="E80" s="56">
        <v>5.0620812642838172E-4</v>
      </c>
      <c r="F80" s="56">
        <v>0.55218168308690341</v>
      </c>
      <c r="G80" s="54">
        <v>5</v>
      </c>
      <c r="H80" s="57">
        <v>1.3097817585188058E-4</v>
      </c>
      <c r="I80" s="42"/>
      <c r="P80" s="101"/>
      <c r="Q80" s="77" t="s">
        <v>165</v>
      </c>
      <c r="R80" s="71">
        <v>1.199795053368609</v>
      </c>
      <c r="S80" s="70">
        <v>14</v>
      </c>
      <c r="T80" s="79"/>
      <c r="U80" s="79"/>
      <c r="V80" s="57"/>
      <c r="X80" s="101"/>
      <c r="Y80" s="77" t="s">
        <v>167</v>
      </c>
      <c r="Z80" s="71">
        <v>13.764814613397785</v>
      </c>
      <c r="AA80" s="70">
        <v>2</v>
      </c>
      <c r="AB80" s="80">
        <v>8.4595805100794799</v>
      </c>
      <c r="AC80" s="57">
        <v>2.188812508824215E-3</v>
      </c>
      <c r="AD80" s="84"/>
      <c r="AG80" t="s">
        <v>1</v>
      </c>
      <c r="AH80" t="s">
        <v>3</v>
      </c>
      <c r="AI80">
        <v>2.4581451693067802</v>
      </c>
      <c r="AJ80">
        <v>1.37529801139159</v>
      </c>
      <c r="AK80" s="57">
        <v>0.215</v>
      </c>
      <c r="AL80">
        <v>-1.2109624158293699</v>
      </c>
      <c r="AM80">
        <v>6.12725275444273</v>
      </c>
    </row>
    <row r="81" spans="1:39">
      <c r="A81" s="94" t="s">
        <v>132</v>
      </c>
      <c r="B81" s="52" t="s">
        <v>3</v>
      </c>
      <c r="C81" s="53">
        <v>0.35111997148803198</v>
      </c>
      <c r="D81" s="54">
        <v>5</v>
      </c>
      <c r="E81" s="56">
        <v>4.3174490672875772E-2</v>
      </c>
      <c r="F81" s="56">
        <v>0.71577043928440542</v>
      </c>
      <c r="G81" s="54">
        <v>5</v>
      </c>
      <c r="H81" s="57">
        <v>1.3901083317461572E-2</v>
      </c>
      <c r="I81" s="42"/>
      <c r="P81" s="101" t="s">
        <v>131</v>
      </c>
      <c r="Q81" s="77" t="s">
        <v>163</v>
      </c>
      <c r="R81" s="69">
        <v>7.2934367019048402E-3</v>
      </c>
      <c r="S81" s="70">
        <v>2</v>
      </c>
      <c r="T81" s="78">
        <v>3.6467183509524201E-3</v>
      </c>
      <c r="U81" s="78">
        <v>0.59486825952219924</v>
      </c>
      <c r="V81" s="57">
        <v>0.56711450568583632</v>
      </c>
      <c r="X81" s="101" t="s">
        <v>140</v>
      </c>
      <c r="Y81" s="77" t="s">
        <v>166</v>
      </c>
      <c r="Z81" s="69">
        <v>0.80745625244404395</v>
      </c>
      <c r="AA81" s="70">
        <v>2</v>
      </c>
      <c r="AB81" s="80">
        <v>7.3754343485310256</v>
      </c>
      <c r="AC81" s="57">
        <v>0.48183401564685502</v>
      </c>
      <c r="AD81" s="84"/>
      <c r="AH81" t="s">
        <v>2</v>
      </c>
      <c r="AI81">
        <v>0.64909888673049598</v>
      </c>
      <c r="AJ81">
        <v>1.37529801139159</v>
      </c>
      <c r="AK81" s="57">
        <v>0.88600000000000001</v>
      </c>
      <c r="AL81">
        <v>-3.02000869840565</v>
      </c>
      <c r="AM81">
        <v>4.3182064718664499</v>
      </c>
    </row>
    <row r="82" spans="1:39" ht="23">
      <c r="A82" s="94"/>
      <c r="B82" s="52" t="s">
        <v>2</v>
      </c>
      <c r="C82" s="53">
        <v>0.17394234966466393</v>
      </c>
      <c r="D82" s="54">
        <v>5</v>
      </c>
      <c r="E82" s="55" t="s">
        <v>153</v>
      </c>
      <c r="F82" s="56">
        <v>0.93889943664648501</v>
      </c>
      <c r="G82" s="54">
        <v>5</v>
      </c>
      <c r="H82" s="57">
        <v>0.65816797736772026</v>
      </c>
      <c r="I82" s="42"/>
      <c r="P82" s="101"/>
      <c r="Q82" s="77" t="s">
        <v>164</v>
      </c>
      <c r="R82" s="69">
        <v>7.3563548753765681E-2</v>
      </c>
      <c r="S82" s="70">
        <v>12</v>
      </c>
      <c r="T82" s="78">
        <v>6.1302957294804734E-3</v>
      </c>
      <c r="U82" s="79"/>
      <c r="V82" s="57"/>
      <c r="X82" s="101"/>
      <c r="Y82" s="77" t="s">
        <v>167</v>
      </c>
      <c r="Z82" s="71">
        <v>1.1685269766645185</v>
      </c>
      <c r="AA82" s="70">
        <v>2</v>
      </c>
      <c r="AB82" s="80">
        <v>9.8642611018162487</v>
      </c>
      <c r="AC82" s="57">
        <v>0.35039410889375705</v>
      </c>
      <c r="AD82" s="84"/>
      <c r="AF82" t="s">
        <v>183</v>
      </c>
      <c r="AG82" t="s">
        <v>3</v>
      </c>
      <c r="AH82" t="s">
        <v>2</v>
      </c>
      <c r="AI82">
        <v>-1.80904628257638</v>
      </c>
      <c r="AJ82">
        <v>1.43726110090034</v>
      </c>
      <c r="AK82" s="57">
        <v>0.56999999999999995</v>
      </c>
      <c r="AL82">
        <v>-6.1731149771345404</v>
      </c>
      <c r="AM82">
        <v>2.5550224119819598</v>
      </c>
    </row>
    <row r="83" spans="1:39">
      <c r="A83" s="94"/>
      <c r="B83" s="52" t="s">
        <v>1</v>
      </c>
      <c r="C83" s="53">
        <v>0.35498510121196764</v>
      </c>
      <c r="D83" s="54">
        <v>5</v>
      </c>
      <c r="E83" s="56">
        <v>3.8422622982934369E-2</v>
      </c>
      <c r="F83" s="56">
        <v>0.80275984626099284</v>
      </c>
      <c r="G83" s="54">
        <v>5</v>
      </c>
      <c r="H83" s="57">
        <v>8.5325425961461865E-2</v>
      </c>
      <c r="I83" s="42"/>
      <c r="P83" s="101"/>
      <c r="Q83" s="77" t="s">
        <v>165</v>
      </c>
      <c r="R83" s="69">
        <v>8.0856985455670521E-2</v>
      </c>
      <c r="S83" s="70">
        <v>14</v>
      </c>
      <c r="T83" s="79"/>
      <c r="U83" s="79"/>
      <c r="V83" s="57"/>
      <c r="X83" s="101" t="s">
        <v>141</v>
      </c>
      <c r="Y83" s="77" t="s">
        <v>166</v>
      </c>
      <c r="Z83" s="71">
        <v>2.2648128463889958</v>
      </c>
      <c r="AA83" s="70">
        <v>2</v>
      </c>
      <c r="AB83" s="80">
        <v>7.1494277354530693</v>
      </c>
      <c r="AC83" s="57">
        <v>0.17302086637895797</v>
      </c>
      <c r="AD83" s="84"/>
      <c r="AH83" t="s">
        <v>1</v>
      </c>
      <c r="AI83">
        <v>-2.4581451693067802</v>
      </c>
      <c r="AJ83">
        <v>1.4197198314721</v>
      </c>
      <c r="AK83" s="57">
        <v>0.32700000000000001</v>
      </c>
      <c r="AL83">
        <v>-6.7832926775011897</v>
      </c>
      <c r="AM83">
        <v>1.8670023388878201</v>
      </c>
    </row>
    <row r="84" spans="1:39" ht="23">
      <c r="A84" s="94" t="s">
        <v>133</v>
      </c>
      <c r="B84" s="52" t="s">
        <v>3</v>
      </c>
      <c r="C84" s="53">
        <v>0.41327264044228629</v>
      </c>
      <c r="D84" s="54">
        <v>5</v>
      </c>
      <c r="E84" s="56">
        <v>5.4334425819822958E-3</v>
      </c>
      <c r="F84" s="56">
        <v>0.63519290330164646</v>
      </c>
      <c r="G84" s="54">
        <v>5</v>
      </c>
      <c r="H84" s="57">
        <v>1.7671741942602759E-3</v>
      </c>
      <c r="I84" s="42"/>
      <c r="P84" s="101" t="s">
        <v>132</v>
      </c>
      <c r="Q84" s="77" t="s">
        <v>163</v>
      </c>
      <c r="R84" s="69">
        <v>0.81162749743505236</v>
      </c>
      <c r="S84" s="70">
        <v>2</v>
      </c>
      <c r="T84" s="78">
        <v>0.40581374871752618</v>
      </c>
      <c r="U84" s="80">
        <v>2.2853956028877835</v>
      </c>
      <c r="V84" s="57">
        <v>0.14422083484525214</v>
      </c>
      <c r="X84" s="101"/>
      <c r="Y84" s="77" t="s">
        <v>167</v>
      </c>
      <c r="Z84" s="71">
        <v>1.5453100408881089</v>
      </c>
      <c r="AA84" s="70">
        <v>2</v>
      </c>
      <c r="AB84" s="80">
        <v>7.5308627842141016</v>
      </c>
      <c r="AC84" s="57">
        <v>0.27394848376660202</v>
      </c>
      <c r="AD84" s="84"/>
      <c r="AG84" t="s">
        <v>2</v>
      </c>
      <c r="AH84" t="s">
        <v>3</v>
      </c>
      <c r="AI84">
        <v>1.80904628257638</v>
      </c>
      <c r="AJ84">
        <v>1.43726110090034</v>
      </c>
      <c r="AK84" s="57">
        <v>0.56999999999999995</v>
      </c>
      <c r="AL84">
        <v>-2.5550224119819598</v>
      </c>
      <c r="AM84">
        <v>6.1731149771345404</v>
      </c>
    </row>
    <row r="85" spans="1:39">
      <c r="A85" s="94"/>
      <c r="B85" s="52" t="s">
        <v>2</v>
      </c>
      <c r="C85" s="53">
        <v>0.34647302515614864</v>
      </c>
      <c r="D85" s="54">
        <v>5</v>
      </c>
      <c r="E85" s="56">
        <v>4.9564805400968921E-2</v>
      </c>
      <c r="F85" s="56">
        <v>0.81205375657017176</v>
      </c>
      <c r="G85" s="54">
        <v>5</v>
      </c>
      <c r="H85" s="57">
        <v>0.10123398532357118</v>
      </c>
      <c r="I85" s="42"/>
      <c r="P85" s="101"/>
      <c r="Q85" s="77" t="s">
        <v>164</v>
      </c>
      <c r="R85" s="71">
        <v>2.1308192675513022</v>
      </c>
      <c r="S85" s="70">
        <v>12</v>
      </c>
      <c r="T85" s="78">
        <v>0.17756827229594185</v>
      </c>
      <c r="U85" s="79"/>
      <c r="V85" s="57"/>
      <c r="X85" s="101" t="s">
        <v>142</v>
      </c>
      <c r="Y85" s="77" t="s">
        <v>166</v>
      </c>
      <c r="Z85" s="71">
        <v>275.41366113431923</v>
      </c>
      <c r="AA85" s="70">
        <v>2</v>
      </c>
      <c r="AB85" s="80">
        <v>7.4126891958580643</v>
      </c>
      <c r="AC85" s="57">
        <v>1.106025253978825E-7</v>
      </c>
      <c r="AD85" s="84"/>
      <c r="AH85" t="s">
        <v>1</v>
      </c>
      <c r="AI85">
        <v>-0.64909888673049598</v>
      </c>
      <c r="AJ85">
        <v>1.26214499498929</v>
      </c>
      <c r="AK85" s="57">
        <v>0.94599999999999995</v>
      </c>
      <c r="AL85">
        <v>-4.4422803272413001</v>
      </c>
      <c r="AM85">
        <v>3.1440825537805099</v>
      </c>
    </row>
    <row r="86" spans="1:39" ht="23.5" thickBot="1">
      <c r="A86" s="94"/>
      <c r="B86" s="52" t="s">
        <v>1</v>
      </c>
      <c r="C86" s="53">
        <v>0.36472851120771982</v>
      </c>
      <c r="D86" s="54">
        <v>5</v>
      </c>
      <c r="E86" s="56">
        <v>2.8430787700257174E-2</v>
      </c>
      <c r="F86" s="56">
        <v>0.76125222584004737</v>
      </c>
      <c r="G86" s="54">
        <v>5</v>
      </c>
      <c r="H86" s="57">
        <v>3.77076343577437E-2</v>
      </c>
      <c r="I86" s="42"/>
      <c r="P86" s="101"/>
      <c r="Q86" s="77" t="s">
        <v>165</v>
      </c>
      <c r="R86" s="71">
        <v>2.9424467649863546</v>
      </c>
      <c r="S86" s="70">
        <v>14</v>
      </c>
      <c r="T86" s="79"/>
      <c r="U86" s="79"/>
      <c r="V86" s="57"/>
      <c r="X86" s="112"/>
      <c r="Y86" s="81" t="s">
        <v>167</v>
      </c>
      <c r="Z86" s="82">
        <v>322.06677684807551</v>
      </c>
      <c r="AA86" s="74">
        <v>2</v>
      </c>
      <c r="AB86" s="88">
        <v>10.324776051789426</v>
      </c>
      <c r="AC86" s="57">
        <v>4.9816104127861055E-10</v>
      </c>
      <c r="AD86" s="84"/>
      <c r="AG86" t="s">
        <v>1</v>
      </c>
      <c r="AH86" t="s">
        <v>3</v>
      </c>
      <c r="AI86">
        <v>2.4581451693067802</v>
      </c>
      <c r="AJ86">
        <v>1.4197198314721</v>
      </c>
      <c r="AK86" s="57">
        <v>0.32700000000000001</v>
      </c>
      <c r="AL86">
        <v>-1.8670023388878201</v>
      </c>
      <c r="AM86">
        <v>6.7832926775011897</v>
      </c>
    </row>
    <row r="87" spans="1:39" ht="15" thickTop="1">
      <c r="A87" s="94" t="s">
        <v>134</v>
      </c>
      <c r="B87" s="52" t="s">
        <v>3</v>
      </c>
      <c r="C87" s="53">
        <v>0.19678179617390795</v>
      </c>
      <c r="D87" s="54">
        <v>5</v>
      </c>
      <c r="E87" s="55" t="s">
        <v>153</v>
      </c>
      <c r="F87" s="56">
        <v>0.95462532634516828</v>
      </c>
      <c r="G87" s="54">
        <v>5</v>
      </c>
      <c r="H87" s="57">
        <v>0.77015077467059923</v>
      </c>
      <c r="I87" s="42"/>
      <c r="P87" s="101" t="s">
        <v>133</v>
      </c>
      <c r="Q87" s="77" t="s">
        <v>163</v>
      </c>
      <c r="R87" s="69">
        <v>7.1498962766248439E-2</v>
      </c>
      <c r="S87" s="70">
        <v>2</v>
      </c>
      <c r="T87" s="78">
        <v>3.5749481383124219E-2</v>
      </c>
      <c r="U87" s="80">
        <v>1.5466722980761038</v>
      </c>
      <c r="V87" s="57">
        <v>0.2525658051159298</v>
      </c>
      <c r="X87" s="114" t="s">
        <v>168</v>
      </c>
      <c r="Y87" s="114"/>
      <c r="Z87" s="114"/>
      <c r="AA87" s="114"/>
      <c r="AB87" s="114"/>
      <c r="AC87" s="114"/>
      <c r="AD87" s="84"/>
      <c r="AH87" t="s">
        <v>2</v>
      </c>
      <c r="AI87">
        <v>0.64909888673049598</v>
      </c>
      <c r="AJ87">
        <v>1.26214499498929</v>
      </c>
      <c r="AK87" s="57">
        <v>0.94599999999999995</v>
      </c>
      <c r="AL87">
        <v>-3.1440825537805099</v>
      </c>
      <c r="AM87">
        <v>4.4422803272413001</v>
      </c>
    </row>
    <row r="88" spans="1:39">
      <c r="A88" s="94"/>
      <c r="B88" s="52" t="s">
        <v>2</v>
      </c>
      <c r="C88" s="53">
        <v>0.23404277713315572</v>
      </c>
      <c r="D88" s="54">
        <v>5</v>
      </c>
      <c r="E88" s="55" t="s">
        <v>153</v>
      </c>
      <c r="F88" s="56">
        <v>0.88972745593538261</v>
      </c>
      <c r="G88" s="54">
        <v>5</v>
      </c>
      <c r="H88" s="57">
        <v>0.35573457830164384</v>
      </c>
      <c r="I88" s="42"/>
      <c r="P88" s="101"/>
      <c r="Q88" s="77" t="s">
        <v>164</v>
      </c>
      <c r="R88" s="69">
        <v>0.27736565601589513</v>
      </c>
      <c r="S88" s="70">
        <v>12</v>
      </c>
      <c r="T88" s="78">
        <v>2.3113804667991261E-2</v>
      </c>
      <c r="U88" s="79"/>
      <c r="V88" s="57"/>
      <c r="X88" s="114" t="s">
        <v>169</v>
      </c>
      <c r="Y88" s="114"/>
      <c r="Z88" s="114"/>
      <c r="AA88" s="114"/>
      <c r="AB88" s="114"/>
      <c r="AC88" s="114"/>
      <c r="AD88" s="84"/>
      <c r="AF88" t="s">
        <v>184</v>
      </c>
      <c r="AG88" t="s">
        <v>3</v>
      </c>
      <c r="AH88" t="s">
        <v>2</v>
      </c>
      <c r="AI88">
        <v>-1.80904628257638</v>
      </c>
      <c r="AJ88">
        <v>1.43726110090034</v>
      </c>
      <c r="AK88" s="57">
        <v>0.53800000000000003</v>
      </c>
      <c r="AL88">
        <v>-6.1008517766577199</v>
      </c>
      <c r="AM88">
        <v>2.48275921150515</v>
      </c>
    </row>
    <row r="89" spans="1:39">
      <c r="A89" s="94"/>
      <c r="B89" s="52" t="s">
        <v>1</v>
      </c>
      <c r="C89" s="53">
        <v>0.4114979734989665</v>
      </c>
      <c r="D89" s="54">
        <v>5</v>
      </c>
      <c r="E89" s="56">
        <v>5.7985091670097882E-3</v>
      </c>
      <c r="F89" s="56">
        <v>0.67857525204048708</v>
      </c>
      <c r="G89" s="54">
        <v>5</v>
      </c>
      <c r="H89" s="57">
        <v>5.6393287975680462E-3</v>
      </c>
      <c r="I89" s="42"/>
      <c r="P89" s="101"/>
      <c r="Q89" s="77" t="s">
        <v>165</v>
      </c>
      <c r="R89" s="69">
        <v>0.34886461878214359</v>
      </c>
      <c r="S89" s="70">
        <v>14</v>
      </c>
      <c r="T89" s="79"/>
      <c r="U89" s="79"/>
      <c r="V89" s="57"/>
      <c r="X89" s="114" t="s">
        <v>170</v>
      </c>
      <c r="Y89" s="114"/>
      <c r="Z89" s="114"/>
      <c r="AA89" s="114"/>
      <c r="AB89" s="114"/>
      <c r="AC89" s="114"/>
      <c r="AD89" s="84"/>
      <c r="AH89" t="s">
        <v>1</v>
      </c>
      <c r="AI89">
        <v>-2.4581451693067802</v>
      </c>
      <c r="AJ89">
        <v>1.4197198314721</v>
      </c>
      <c r="AK89" s="57">
        <v>0.30299999999999999</v>
      </c>
      <c r="AL89">
        <v>-6.7102139454170704</v>
      </c>
      <c r="AM89">
        <v>1.7939236068037001</v>
      </c>
    </row>
    <row r="90" spans="1:39">
      <c r="A90" s="51" t="s">
        <v>135</v>
      </c>
      <c r="B90" s="52" t="s">
        <v>3</v>
      </c>
      <c r="C90" s="53">
        <v>0.26017245130427347</v>
      </c>
      <c r="D90" s="54">
        <v>5</v>
      </c>
      <c r="E90" s="55" t="s">
        <v>153</v>
      </c>
      <c r="F90" s="56">
        <v>0.87375339301266153</v>
      </c>
      <c r="G90" s="54">
        <v>5</v>
      </c>
      <c r="H90" s="57">
        <v>0.28195636789770973</v>
      </c>
      <c r="I90" s="42"/>
      <c r="P90" s="101" t="s">
        <v>134</v>
      </c>
      <c r="Q90" s="77" t="s">
        <v>163</v>
      </c>
      <c r="R90" s="69">
        <v>9.2730954231749041E-2</v>
      </c>
      <c r="S90" s="70">
        <v>2</v>
      </c>
      <c r="T90" s="78">
        <v>4.636547711587452E-2</v>
      </c>
      <c r="U90" s="78">
        <v>0.30752257369860164</v>
      </c>
      <c r="V90" s="57">
        <v>0.74089151568452383</v>
      </c>
      <c r="X90" s="114" t="s">
        <v>171</v>
      </c>
      <c r="Y90" s="114"/>
      <c r="Z90" s="114"/>
      <c r="AA90" s="114"/>
      <c r="AB90" s="114"/>
      <c r="AC90" s="114"/>
      <c r="AD90" s="84"/>
      <c r="AG90" t="s">
        <v>2</v>
      </c>
      <c r="AH90" t="s">
        <v>3</v>
      </c>
      <c r="AI90">
        <v>1.80904628257638</v>
      </c>
      <c r="AJ90">
        <v>1.43726110090034</v>
      </c>
      <c r="AK90" s="57">
        <v>0.53800000000000003</v>
      </c>
      <c r="AL90">
        <v>-2.48275921150515</v>
      </c>
      <c r="AM90">
        <v>6.1008517766577199</v>
      </c>
    </row>
    <row r="91" spans="1:39">
      <c r="A91" s="94" t="s">
        <v>136</v>
      </c>
      <c r="B91" s="52" t="s">
        <v>3</v>
      </c>
      <c r="C91" s="53">
        <v>0.37688929464490273</v>
      </c>
      <c r="D91" s="54">
        <v>5</v>
      </c>
      <c r="E91" s="56">
        <v>1.9241002997668597E-2</v>
      </c>
      <c r="F91" s="56">
        <v>0.74051204619557376</v>
      </c>
      <c r="G91" s="54">
        <v>5</v>
      </c>
      <c r="H91" s="57">
        <v>2.4254292827680542E-2</v>
      </c>
      <c r="I91" s="42"/>
      <c r="P91" s="101"/>
      <c r="Q91" s="77" t="s">
        <v>164</v>
      </c>
      <c r="R91" s="71">
        <v>1.809251654923387</v>
      </c>
      <c r="S91" s="70">
        <v>12</v>
      </c>
      <c r="T91" s="78">
        <v>0.15077097124361558</v>
      </c>
      <c r="U91" s="79"/>
      <c r="V91" s="57"/>
      <c r="X91" s="114" t="s">
        <v>172</v>
      </c>
      <c r="Y91" s="114"/>
      <c r="Z91" s="114"/>
      <c r="AA91" s="114"/>
      <c r="AB91" s="114"/>
      <c r="AC91" s="114"/>
      <c r="AD91" s="84"/>
      <c r="AH91" t="s">
        <v>1</v>
      </c>
      <c r="AI91">
        <v>-0.64909888673049598</v>
      </c>
      <c r="AJ91">
        <v>1.26214499498929</v>
      </c>
      <c r="AK91" s="57">
        <v>0.93700000000000006</v>
      </c>
      <c r="AL91">
        <v>-4.3833680889419204</v>
      </c>
      <c r="AM91">
        <v>3.0851703154811201</v>
      </c>
    </row>
    <row r="92" spans="1:39">
      <c r="A92" s="94"/>
      <c r="B92" s="52" t="s">
        <v>2</v>
      </c>
      <c r="C92" s="53">
        <v>0.20311558692544662</v>
      </c>
      <c r="D92" s="54">
        <v>5</v>
      </c>
      <c r="E92" s="55" t="s">
        <v>153</v>
      </c>
      <c r="F92" s="56">
        <v>0.90308094560088303</v>
      </c>
      <c r="G92" s="54">
        <v>5</v>
      </c>
      <c r="H92" s="57">
        <v>0.42714759355369625</v>
      </c>
      <c r="I92" s="42"/>
      <c r="P92" s="101"/>
      <c r="Q92" s="77" t="s">
        <v>165</v>
      </c>
      <c r="R92" s="71">
        <v>1.901982609155136</v>
      </c>
      <c r="S92" s="70">
        <v>14</v>
      </c>
      <c r="T92" s="79"/>
      <c r="U92" s="79"/>
      <c r="V92" s="57"/>
      <c r="AG92" t="s">
        <v>1</v>
      </c>
      <c r="AH92" t="s">
        <v>3</v>
      </c>
      <c r="AI92">
        <v>2.4581451693067802</v>
      </c>
      <c r="AJ92">
        <v>1.4197198314721</v>
      </c>
      <c r="AK92" s="57">
        <v>0.30299999999999999</v>
      </c>
      <c r="AL92">
        <v>-1.7939236068037001</v>
      </c>
      <c r="AM92">
        <v>6.7102139454170704</v>
      </c>
    </row>
    <row r="93" spans="1:39">
      <c r="A93" s="94"/>
      <c r="B93" s="52" t="s">
        <v>1</v>
      </c>
      <c r="C93" s="53">
        <v>0.37982238952275077</v>
      </c>
      <c r="D93" s="54">
        <v>5</v>
      </c>
      <c r="E93" s="56">
        <v>1.7469551023334289E-2</v>
      </c>
      <c r="F93" s="56">
        <v>0.71205302461836517</v>
      </c>
      <c r="G93" s="54">
        <v>5</v>
      </c>
      <c r="H93" s="57">
        <v>1.274837429072267E-2</v>
      </c>
      <c r="I93" s="42"/>
      <c r="P93" s="101" t="s">
        <v>135</v>
      </c>
      <c r="Q93" s="77" t="s">
        <v>163</v>
      </c>
      <c r="R93" s="69">
        <v>5.978442917334667E-2</v>
      </c>
      <c r="S93" s="70">
        <v>2</v>
      </c>
      <c r="T93" s="78">
        <v>2.9892214586673335E-2</v>
      </c>
      <c r="U93" s="80">
        <v>35.718920009218522</v>
      </c>
      <c r="V93" s="57">
        <v>8.8493049075071129E-6</v>
      </c>
      <c r="AH93" t="s">
        <v>2</v>
      </c>
      <c r="AI93">
        <v>0.64909888673049598</v>
      </c>
      <c r="AJ93">
        <v>1.26214499498929</v>
      </c>
      <c r="AK93" s="57">
        <v>0.93700000000000006</v>
      </c>
      <c r="AL93">
        <v>-3.0851703154811201</v>
      </c>
      <c r="AM93">
        <v>4.3833680889419204</v>
      </c>
    </row>
    <row r="94" spans="1:39">
      <c r="A94" s="94" t="s">
        <v>137</v>
      </c>
      <c r="B94" s="52" t="s">
        <v>3</v>
      </c>
      <c r="C94" s="53">
        <v>0.39429087751896902</v>
      </c>
      <c r="D94" s="54">
        <v>5</v>
      </c>
      <c r="E94" s="56">
        <v>1.0700480753174282E-2</v>
      </c>
      <c r="F94" s="56">
        <v>0.73815747194649639</v>
      </c>
      <c r="G94" s="54">
        <v>5</v>
      </c>
      <c r="H94" s="57">
        <v>2.3035958846301191E-2</v>
      </c>
      <c r="I94" s="42"/>
      <c r="P94" s="101"/>
      <c r="Q94" s="77" t="s">
        <v>164</v>
      </c>
      <c r="R94" s="69">
        <v>1.0042480986197321E-2</v>
      </c>
      <c r="S94" s="70">
        <v>12</v>
      </c>
      <c r="T94" s="78">
        <v>8.3687341551644343E-4</v>
      </c>
      <c r="U94" s="79"/>
      <c r="V94" s="57"/>
      <c r="AE94" t="s">
        <v>110</v>
      </c>
      <c r="AF94" t="s">
        <v>182</v>
      </c>
      <c r="AG94" t="s">
        <v>3</v>
      </c>
      <c r="AH94" t="s">
        <v>2</v>
      </c>
      <c r="AI94">
        <v>-6.8011973088256003E-2</v>
      </c>
      <c r="AJ94">
        <v>6.0241494704362998E-2</v>
      </c>
      <c r="AK94" s="57">
        <v>0.51500000000000001</v>
      </c>
      <c r="AL94">
        <v>-0.22872806758453401</v>
      </c>
      <c r="AM94">
        <v>9.2704121408220999E-2</v>
      </c>
    </row>
    <row r="95" spans="1:39">
      <c r="A95" s="94"/>
      <c r="B95" s="52" t="s">
        <v>2</v>
      </c>
      <c r="C95" s="53">
        <v>0.21230222837735546</v>
      </c>
      <c r="D95" s="54">
        <v>5</v>
      </c>
      <c r="E95" s="55" t="s">
        <v>153</v>
      </c>
      <c r="F95" s="56">
        <v>0.9295442525743598</v>
      </c>
      <c r="G95" s="54">
        <v>5</v>
      </c>
      <c r="H95" s="57">
        <v>0.59326589770433935</v>
      </c>
      <c r="I95" s="42"/>
      <c r="P95" s="101"/>
      <c r="Q95" s="77" t="s">
        <v>165</v>
      </c>
      <c r="R95" s="69">
        <v>6.9826910159543995E-2</v>
      </c>
      <c r="S95" s="70">
        <v>14</v>
      </c>
      <c r="T95" s="79"/>
      <c r="U95" s="79"/>
      <c r="V95" s="57"/>
      <c r="AH95" t="s">
        <v>1</v>
      </c>
      <c r="AI95">
        <v>-0.10427846897344401</v>
      </c>
      <c r="AJ95">
        <v>6.0241494704362998E-2</v>
      </c>
      <c r="AK95" s="57">
        <v>0.23400000000000001</v>
      </c>
      <c r="AL95">
        <v>-0.264994563469721</v>
      </c>
      <c r="AM95">
        <v>5.6437625523034003E-2</v>
      </c>
    </row>
    <row r="96" spans="1:39">
      <c r="A96" s="94"/>
      <c r="B96" s="52" t="s">
        <v>1</v>
      </c>
      <c r="C96" s="53">
        <v>0.25200257556494243</v>
      </c>
      <c r="D96" s="54">
        <v>5</v>
      </c>
      <c r="E96" s="55" t="s">
        <v>153</v>
      </c>
      <c r="F96" s="56">
        <v>0.88120917194117987</v>
      </c>
      <c r="G96" s="54">
        <v>5</v>
      </c>
      <c r="H96" s="57">
        <v>0.3148263477952451</v>
      </c>
      <c r="I96" s="42"/>
      <c r="P96" s="101" t="s">
        <v>136</v>
      </c>
      <c r="Q96" s="77" t="s">
        <v>163</v>
      </c>
      <c r="R96" s="69">
        <v>3.7155802460980261E-3</v>
      </c>
      <c r="S96" s="70">
        <v>2</v>
      </c>
      <c r="T96" s="78">
        <v>1.857790123049013E-3</v>
      </c>
      <c r="U96" s="78">
        <v>0.22339654832765821</v>
      </c>
      <c r="V96" s="57">
        <v>0.80305012560128919</v>
      </c>
      <c r="AG96" t="s">
        <v>2</v>
      </c>
      <c r="AH96" t="s">
        <v>3</v>
      </c>
      <c r="AI96">
        <v>6.8011973088256003E-2</v>
      </c>
      <c r="AJ96">
        <v>6.0241494704362998E-2</v>
      </c>
      <c r="AK96" s="57">
        <v>0.51500000000000001</v>
      </c>
      <c r="AL96">
        <v>-9.2704121408220999E-2</v>
      </c>
      <c r="AM96">
        <v>0.22872806758453401</v>
      </c>
    </row>
    <row r="97" spans="1:39">
      <c r="A97" s="94" t="s">
        <v>46</v>
      </c>
      <c r="B97" s="52" t="s">
        <v>3</v>
      </c>
      <c r="C97" s="53">
        <v>0.21114053754976159</v>
      </c>
      <c r="D97" s="54">
        <v>5</v>
      </c>
      <c r="E97" s="55" t="s">
        <v>153</v>
      </c>
      <c r="F97" s="56">
        <v>0.93001748325182676</v>
      </c>
      <c r="G97" s="54">
        <v>5</v>
      </c>
      <c r="H97" s="57">
        <v>0.59648974524919718</v>
      </c>
      <c r="I97" s="42"/>
      <c r="P97" s="101"/>
      <c r="Q97" s="77" t="s">
        <v>164</v>
      </c>
      <c r="R97" s="69">
        <v>9.9793312132513606E-2</v>
      </c>
      <c r="S97" s="70">
        <v>12</v>
      </c>
      <c r="T97" s="78">
        <v>8.3161093443761339E-3</v>
      </c>
      <c r="U97" s="79"/>
      <c r="V97" s="57"/>
      <c r="AH97" t="s">
        <v>1</v>
      </c>
      <c r="AI97">
        <v>-3.6266495885286999E-2</v>
      </c>
      <c r="AJ97">
        <v>6.0241494704362998E-2</v>
      </c>
      <c r="AK97" s="57">
        <v>0.82199999999999995</v>
      </c>
      <c r="AL97">
        <v>-0.19698259038156499</v>
      </c>
      <c r="AM97">
        <v>0.12444959861119</v>
      </c>
    </row>
    <row r="98" spans="1:39">
      <c r="A98" s="94"/>
      <c r="B98" s="52" t="s">
        <v>2</v>
      </c>
      <c r="C98" s="53">
        <v>0.20019321389309741</v>
      </c>
      <c r="D98" s="54">
        <v>5</v>
      </c>
      <c r="E98" s="55" t="s">
        <v>153</v>
      </c>
      <c r="F98" s="56">
        <v>0.96980966092562226</v>
      </c>
      <c r="G98" s="54">
        <v>5</v>
      </c>
      <c r="H98" s="57">
        <v>0.87403055939141527</v>
      </c>
      <c r="I98" s="42"/>
      <c r="P98" s="101"/>
      <c r="Q98" s="77" t="s">
        <v>165</v>
      </c>
      <c r="R98" s="69">
        <v>0.10350889237861163</v>
      </c>
      <c r="S98" s="70">
        <v>14</v>
      </c>
      <c r="T98" s="79"/>
      <c r="U98" s="79"/>
      <c r="V98" s="57"/>
      <c r="AG98" t="s">
        <v>1</v>
      </c>
      <c r="AH98" t="s">
        <v>3</v>
      </c>
      <c r="AI98">
        <v>0.10427846897344401</v>
      </c>
      <c r="AJ98">
        <v>6.0241494704362998E-2</v>
      </c>
      <c r="AK98" s="57">
        <v>0.23400000000000001</v>
      </c>
      <c r="AL98">
        <v>-5.6437625523034003E-2</v>
      </c>
      <c r="AM98">
        <v>0.264994563469721</v>
      </c>
    </row>
    <row r="99" spans="1:39">
      <c r="A99" s="94"/>
      <c r="B99" s="52" t="s">
        <v>1</v>
      </c>
      <c r="C99" s="53">
        <v>0.34723421527822779</v>
      </c>
      <c r="D99" s="54">
        <v>5</v>
      </c>
      <c r="E99" s="56">
        <v>4.8464534178219068E-2</v>
      </c>
      <c r="F99" s="56">
        <v>0.77110547643211602</v>
      </c>
      <c r="G99" s="54">
        <v>5</v>
      </c>
      <c r="H99" s="57">
        <v>4.6138336455145375E-2</v>
      </c>
      <c r="I99" s="42"/>
      <c r="P99" s="101" t="s">
        <v>137</v>
      </c>
      <c r="Q99" s="77" t="s">
        <v>163</v>
      </c>
      <c r="R99" s="69">
        <v>1.1713589067255285E-2</v>
      </c>
      <c r="S99" s="70">
        <v>2</v>
      </c>
      <c r="T99" s="78">
        <v>5.8567945336276423E-3</v>
      </c>
      <c r="U99" s="78">
        <v>0.92238975764588893</v>
      </c>
      <c r="V99" s="57">
        <v>0.42400523000341961</v>
      </c>
      <c r="AH99" t="s">
        <v>2</v>
      </c>
      <c r="AI99">
        <v>3.6266495885286999E-2</v>
      </c>
      <c r="AJ99">
        <v>6.0241494704362998E-2</v>
      </c>
      <c r="AK99" s="57">
        <v>0.82199999999999995</v>
      </c>
      <c r="AL99">
        <v>-0.12444959861119</v>
      </c>
      <c r="AM99">
        <v>0.19698259038156499</v>
      </c>
    </row>
    <row r="100" spans="1:39">
      <c r="A100" s="94" t="s">
        <v>92</v>
      </c>
      <c r="B100" s="52" t="s">
        <v>3</v>
      </c>
      <c r="C100" s="53">
        <v>0.20785587195663693</v>
      </c>
      <c r="D100" s="54">
        <v>5</v>
      </c>
      <c r="E100" s="55" t="s">
        <v>153</v>
      </c>
      <c r="F100" s="56">
        <v>0.92235439870783753</v>
      </c>
      <c r="G100" s="54">
        <v>5</v>
      </c>
      <c r="H100" s="57">
        <v>0.54524076744623795</v>
      </c>
      <c r="I100" s="42"/>
      <c r="P100" s="101"/>
      <c r="Q100" s="77" t="s">
        <v>164</v>
      </c>
      <c r="R100" s="69">
        <v>7.6195050759131716E-2</v>
      </c>
      <c r="S100" s="70">
        <v>12</v>
      </c>
      <c r="T100" s="78">
        <v>6.3495875632609763E-3</v>
      </c>
      <c r="U100" s="79"/>
      <c r="V100" s="57"/>
      <c r="AF100" t="s">
        <v>183</v>
      </c>
      <c r="AG100" t="s">
        <v>3</v>
      </c>
      <c r="AH100" t="s">
        <v>2</v>
      </c>
      <c r="AI100">
        <v>-6.8011973088256003E-2</v>
      </c>
      <c r="AJ100">
        <v>4.6712322412622E-2</v>
      </c>
      <c r="AK100" s="57">
        <v>0.47699999999999998</v>
      </c>
      <c r="AL100">
        <v>-0.21967081148485201</v>
      </c>
      <c r="AM100">
        <v>8.364686530854E-2</v>
      </c>
    </row>
    <row r="101" spans="1:39">
      <c r="A101" s="94"/>
      <c r="B101" s="52" t="s">
        <v>2</v>
      </c>
      <c r="C101" s="53">
        <v>0.22210366124019168</v>
      </c>
      <c r="D101" s="54">
        <v>5</v>
      </c>
      <c r="E101" s="55" t="s">
        <v>153</v>
      </c>
      <c r="F101" s="56">
        <v>0.88219131947372809</v>
      </c>
      <c r="G101" s="54">
        <v>5</v>
      </c>
      <c r="H101" s="57">
        <v>0.31935923306860808</v>
      </c>
      <c r="I101" s="42"/>
      <c r="P101" s="101"/>
      <c r="Q101" s="77" t="s">
        <v>165</v>
      </c>
      <c r="R101" s="69">
        <v>8.7908639826386997E-2</v>
      </c>
      <c r="S101" s="70">
        <v>14</v>
      </c>
      <c r="T101" s="79"/>
      <c r="U101" s="79"/>
      <c r="V101" s="57"/>
      <c r="AH101" t="s">
        <v>1</v>
      </c>
      <c r="AI101">
        <v>-0.10427846897344401</v>
      </c>
      <c r="AJ101">
        <v>7.0369107634646003E-2</v>
      </c>
      <c r="AK101" s="57">
        <v>0.44900000000000001</v>
      </c>
      <c r="AL101">
        <v>-0.321155999402648</v>
      </c>
      <c r="AM101">
        <v>0.11259906145596001</v>
      </c>
    </row>
    <row r="102" spans="1:39">
      <c r="A102" s="94"/>
      <c r="B102" s="52" t="s">
        <v>1</v>
      </c>
      <c r="C102" s="53">
        <v>0.3220274302228619</v>
      </c>
      <c r="D102" s="54">
        <v>5</v>
      </c>
      <c r="E102" s="56">
        <v>9.8553784331836411E-2</v>
      </c>
      <c r="F102" s="56">
        <v>0.83466741527424959</v>
      </c>
      <c r="G102" s="54">
        <v>5</v>
      </c>
      <c r="H102" s="57">
        <v>0.15071287139657275</v>
      </c>
      <c r="I102" s="42"/>
      <c r="P102" s="101" t="s">
        <v>46</v>
      </c>
      <c r="Q102" s="77" t="s">
        <v>163</v>
      </c>
      <c r="R102" s="69">
        <v>0.16177384727103061</v>
      </c>
      <c r="S102" s="70">
        <v>2</v>
      </c>
      <c r="T102" s="78">
        <v>8.0886923635515307E-2</v>
      </c>
      <c r="U102" s="80">
        <v>1.9848773244953388</v>
      </c>
      <c r="V102" s="57">
        <v>0.18001057236414178</v>
      </c>
      <c r="AG102" t="s">
        <v>2</v>
      </c>
      <c r="AH102" t="s">
        <v>3</v>
      </c>
      <c r="AI102">
        <v>6.8011973088256003E-2</v>
      </c>
      <c r="AJ102">
        <v>4.6712322412622E-2</v>
      </c>
      <c r="AK102" s="57">
        <v>0.47699999999999998</v>
      </c>
      <c r="AL102">
        <v>-8.364686530854E-2</v>
      </c>
      <c r="AM102">
        <v>0.21967081148485201</v>
      </c>
    </row>
    <row r="103" spans="1:39">
      <c r="A103" s="94" t="s">
        <v>93</v>
      </c>
      <c r="B103" s="52" t="s">
        <v>3</v>
      </c>
      <c r="C103" s="53">
        <v>0.26836863095566643</v>
      </c>
      <c r="D103" s="54">
        <v>5</v>
      </c>
      <c r="E103" s="55" t="s">
        <v>153</v>
      </c>
      <c r="F103" s="56">
        <v>0.90664958738660961</v>
      </c>
      <c r="G103" s="54">
        <v>5</v>
      </c>
      <c r="H103" s="57">
        <v>0.44772064960576241</v>
      </c>
      <c r="I103" s="42"/>
      <c r="P103" s="101"/>
      <c r="Q103" s="77" t="s">
        <v>164</v>
      </c>
      <c r="R103" s="69">
        <v>0.48901918100806191</v>
      </c>
      <c r="S103" s="70">
        <v>12</v>
      </c>
      <c r="T103" s="78">
        <v>4.075159841733849E-2</v>
      </c>
      <c r="U103" s="79"/>
      <c r="V103" s="57"/>
      <c r="AH103" t="s">
        <v>1</v>
      </c>
      <c r="AI103">
        <v>-3.6266495885286999E-2</v>
      </c>
      <c r="AJ103">
        <v>6.1263861110524002E-2</v>
      </c>
      <c r="AK103" s="57">
        <v>0.92500000000000004</v>
      </c>
      <c r="AL103">
        <v>-0.24855203562474401</v>
      </c>
      <c r="AM103">
        <v>0.17601904385436901</v>
      </c>
    </row>
    <row r="104" spans="1:39">
      <c r="A104" s="94"/>
      <c r="B104" s="52" t="s">
        <v>2</v>
      </c>
      <c r="C104" s="53">
        <v>0.31712409911740685</v>
      </c>
      <c r="D104" s="54">
        <v>5</v>
      </c>
      <c r="E104" s="56">
        <v>0.11179144474463736</v>
      </c>
      <c r="F104" s="56">
        <v>0.82063279235631814</v>
      </c>
      <c r="G104" s="54">
        <v>5</v>
      </c>
      <c r="H104" s="57">
        <v>0.11808647146558493</v>
      </c>
      <c r="I104" s="42"/>
      <c r="P104" s="101"/>
      <c r="Q104" s="77" t="s">
        <v>165</v>
      </c>
      <c r="R104" s="69">
        <v>0.65079302827909258</v>
      </c>
      <c r="S104" s="70">
        <v>14</v>
      </c>
      <c r="T104" s="79"/>
      <c r="U104" s="79"/>
      <c r="V104" s="57"/>
      <c r="AG104" t="s">
        <v>1</v>
      </c>
      <c r="AH104" t="s">
        <v>3</v>
      </c>
      <c r="AI104">
        <v>0.10427846897344401</v>
      </c>
      <c r="AJ104">
        <v>7.0369107634646003E-2</v>
      </c>
      <c r="AK104" s="57">
        <v>0.44900000000000001</v>
      </c>
      <c r="AL104">
        <v>-0.11259906145596001</v>
      </c>
      <c r="AM104">
        <v>0.321155999402648</v>
      </c>
    </row>
    <row r="105" spans="1:39">
      <c r="A105" s="94"/>
      <c r="B105" s="52" t="s">
        <v>1</v>
      </c>
      <c r="C105" s="53">
        <v>0.30600525998597156</v>
      </c>
      <c r="D105" s="54">
        <v>5</v>
      </c>
      <c r="E105" s="56">
        <v>0.1418701616806689</v>
      </c>
      <c r="F105" s="56">
        <v>0.81974849443056874</v>
      </c>
      <c r="G105" s="54">
        <v>5</v>
      </c>
      <c r="H105" s="57">
        <v>0.11624675817656911</v>
      </c>
      <c r="I105" s="42"/>
      <c r="P105" s="101" t="s">
        <v>92</v>
      </c>
      <c r="Q105" s="77" t="s">
        <v>163</v>
      </c>
      <c r="R105" s="71">
        <v>18.244342069663276</v>
      </c>
      <c r="S105" s="70">
        <v>2</v>
      </c>
      <c r="T105" s="80">
        <v>9.1221710348316378</v>
      </c>
      <c r="U105" s="80">
        <v>1.2621842411989255</v>
      </c>
      <c r="V105" s="57">
        <v>0.31805624391868847</v>
      </c>
      <c r="AH105" t="s">
        <v>2</v>
      </c>
      <c r="AI105">
        <v>3.6266495885286999E-2</v>
      </c>
      <c r="AJ105">
        <v>6.1263861110524002E-2</v>
      </c>
      <c r="AK105" s="57">
        <v>0.92500000000000004</v>
      </c>
      <c r="AL105">
        <v>-0.17601904385436901</v>
      </c>
      <c r="AM105">
        <v>0.24855203562474401</v>
      </c>
    </row>
    <row r="106" spans="1:39">
      <c r="A106" s="94" t="s">
        <v>94</v>
      </c>
      <c r="B106" s="52" t="s">
        <v>3</v>
      </c>
      <c r="C106" s="53">
        <v>0.21941709894478556</v>
      </c>
      <c r="D106" s="54">
        <v>5</v>
      </c>
      <c r="E106" s="55" t="s">
        <v>153</v>
      </c>
      <c r="F106" s="56">
        <v>0.94505208124715079</v>
      </c>
      <c r="G106" s="54">
        <v>5</v>
      </c>
      <c r="H106" s="57">
        <v>0.7018397361861467</v>
      </c>
      <c r="I106" s="42"/>
      <c r="P106" s="101"/>
      <c r="Q106" s="77" t="s">
        <v>164</v>
      </c>
      <c r="R106" s="71">
        <v>86.727475153706465</v>
      </c>
      <c r="S106" s="70">
        <v>12</v>
      </c>
      <c r="T106" s="80">
        <v>7.2272895961422057</v>
      </c>
      <c r="U106" s="79"/>
      <c r="V106" s="57"/>
      <c r="AF106" t="s">
        <v>184</v>
      </c>
      <c r="AG106" t="s">
        <v>3</v>
      </c>
      <c r="AH106" t="s">
        <v>2</v>
      </c>
      <c r="AI106">
        <v>-6.8011973088256003E-2</v>
      </c>
      <c r="AJ106">
        <v>4.6712322412622E-2</v>
      </c>
      <c r="AK106" s="57">
        <v>0.44</v>
      </c>
      <c r="AL106">
        <v>-0.21605436747669399</v>
      </c>
      <c r="AM106">
        <v>8.0030421300381002E-2</v>
      </c>
    </row>
    <row r="107" spans="1:39">
      <c r="A107" s="94"/>
      <c r="B107" s="52" t="s">
        <v>2</v>
      </c>
      <c r="C107" s="53">
        <v>0.33949531008898659</v>
      </c>
      <c r="D107" s="54">
        <v>5</v>
      </c>
      <c r="E107" s="56">
        <v>6.0710642852693897E-2</v>
      </c>
      <c r="F107" s="56">
        <v>0.75312081365761629</v>
      </c>
      <c r="G107" s="54">
        <v>5</v>
      </c>
      <c r="H107" s="57">
        <v>3.1802782741627129E-2</v>
      </c>
      <c r="I107" s="42"/>
      <c r="P107" s="101"/>
      <c r="Q107" s="77" t="s">
        <v>165</v>
      </c>
      <c r="R107" s="71">
        <v>104.97181722336974</v>
      </c>
      <c r="S107" s="70">
        <v>14</v>
      </c>
      <c r="T107" s="79"/>
      <c r="U107" s="79"/>
      <c r="V107" s="57"/>
      <c r="AH107" t="s">
        <v>1</v>
      </c>
      <c r="AI107">
        <v>-0.10427846897344401</v>
      </c>
      <c r="AJ107">
        <v>7.0369107634646003E-2</v>
      </c>
      <c r="AK107" s="57">
        <v>0.41899999999999998</v>
      </c>
      <c r="AL107">
        <v>-0.31723168392345102</v>
      </c>
      <c r="AM107">
        <v>0.10867474597676401</v>
      </c>
    </row>
    <row r="108" spans="1:39">
      <c r="A108" s="94"/>
      <c r="B108" s="52" t="s">
        <v>1</v>
      </c>
      <c r="C108" s="53">
        <v>0.28426497096691083</v>
      </c>
      <c r="D108" s="54">
        <v>5</v>
      </c>
      <c r="E108" s="55" t="s">
        <v>153</v>
      </c>
      <c r="F108" s="56">
        <v>0.86467743908294059</v>
      </c>
      <c r="G108" s="54">
        <v>5</v>
      </c>
      <c r="H108" s="57">
        <v>0.24553372522412731</v>
      </c>
      <c r="I108" s="42"/>
      <c r="P108" s="101" t="s">
        <v>93</v>
      </c>
      <c r="Q108" s="77" t="s">
        <v>163</v>
      </c>
      <c r="R108" s="71">
        <v>59.335199152146437</v>
      </c>
      <c r="S108" s="70">
        <v>2</v>
      </c>
      <c r="T108" s="80">
        <v>29.667599576073219</v>
      </c>
      <c r="U108" s="78">
        <v>0.99692611381532259</v>
      </c>
      <c r="V108" s="57">
        <v>0.39761592956230252</v>
      </c>
      <c r="AG108" t="s">
        <v>2</v>
      </c>
      <c r="AH108" t="s">
        <v>3</v>
      </c>
      <c r="AI108">
        <v>6.8011973088256003E-2</v>
      </c>
      <c r="AJ108">
        <v>4.6712322412622E-2</v>
      </c>
      <c r="AK108" s="57">
        <v>0.44</v>
      </c>
      <c r="AL108">
        <v>-8.0030421300381002E-2</v>
      </c>
      <c r="AM108">
        <v>0.21605436747669399</v>
      </c>
    </row>
    <row r="109" spans="1:39">
      <c r="A109" s="94" t="s">
        <v>138</v>
      </c>
      <c r="B109" s="52" t="s">
        <v>3</v>
      </c>
      <c r="C109" s="53">
        <v>0.21731875573698467</v>
      </c>
      <c r="D109" s="54">
        <v>5</v>
      </c>
      <c r="E109" s="55" t="s">
        <v>153</v>
      </c>
      <c r="F109" s="56">
        <v>0.95133617846107243</v>
      </c>
      <c r="G109" s="54">
        <v>5</v>
      </c>
      <c r="H109" s="57">
        <v>0.7467306124313442</v>
      </c>
      <c r="I109" s="42"/>
      <c r="P109" s="101"/>
      <c r="Q109" s="77" t="s">
        <v>164</v>
      </c>
      <c r="R109" s="71">
        <v>357.10890704868081</v>
      </c>
      <c r="S109" s="70">
        <v>12</v>
      </c>
      <c r="T109" s="80">
        <v>29.759075587390068</v>
      </c>
      <c r="U109" s="79"/>
      <c r="V109" s="57"/>
      <c r="AH109" t="s">
        <v>1</v>
      </c>
      <c r="AI109">
        <v>-3.6266495885286999E-2</v>
      </c>
      <c r="AJ109">
        <v>6.1263861110524002E-2</v>
      </c>
      <c r="AK109" s="57">
        <v>0.90700000000000003</v>
      </c>
      <c r="AL109">
        <v>-0.24179610251439501</v>
      </c>
      <c r="AM109">
        <v>0.16926311074402101</v>
      </c>
    </row>
    <row r="110" spans="1:39">
      <c r="A110" s="94"/>
      <c r="B110" s="52" t="s">
        <v>2</v>
      </c>
      <c r="C110" s="53">
        <v>0.28668893013984553</v>
      </c>
      <c r="D110" s="54">
        <v>5</v>
      </c>
      <c r="E110" s="55" t="s">
        <v>153</v>
      </c>
      <c r="F110" s="56">
        <v>0.82863194895998815</v>
      </c>
      <c r="G110" s="54">
        <v>5</v>
      </c>
      <c r="H110" s="57">
        <v>0.13586686694257882</v>
      </c>
      <c r="I110" s="42"/>
      <c r="P110" s="101"/>
      <c r="Q110" s="77" t="s">
        <v>165</v>
      </c>
      <c r="R110" s="71">
        <v>416.44410620082726</v>
      </c>
      <c r="S110" s="70">
        <v>14</v>
      </c>
      <c r="T110" s="79"/>
      <c r="U110" s="79"/>
      <c r="V110" s="57"/>
      <c r="AG110" t="s">
        <v>1</v>
      </c>
      <c r="AH110" t="s">
        <v>3</v>
      </c>
      <c r="AI110">
        <v>0.10427846897344401</v>
      </c>
      <c r="AJ110">
        <v>7.0369107634646003E-2</v>
      </c>
      <c r="AK110" s="57">
        <v>0.41899999999999998</v>
      </c>
      <c r="AL110">
        <v>-0.10867474597676401</v>
      </c>
      <c r="AM110">
        <v>0.31723168392345102</v>
      </c>
    </row>
    <row r="111" spans="1:39">
      <c r="A111" s="94"/>
      <c r="B111" s="52" t="s">
        <v>1</v>
      </c>
      <c r="C111" s="53">
        <v>0.27238004049377529</v>
      </c>
      <c r="D111" s="54">
        <v>5</v>
      </c>
      <c r="E111" s="55" t="s">
        <v>153</v>
      </c>
      <c r="F111" s="56">
        <v>0.87072341449550583</v>
      </c>
      <c r="G111" s="54">
        <v>5</v>
      </c>
      <c r="H111" s="57">
        <v>0.26936538111231056</v>
      </c>
      <c r="I111" s="42"/>
      <c r="P111" s="101" t="s">
        <v>94</v>
      </c>
      <c r="Q111" s="77" t="s">
        <v>163</v>
      </c>
      <c r="R111" s="71">
        <v>35.481723650972384</v>
      </c>
      <c r="S111" s="70">
        <v>2</v>
      </c>
      <c r="T111" s="80">
        <v>17.740861825486192</v>
      </c>
      <c r="U111" s="78">
        <v>0.52244978641355122</v>
      </c>
      <c r="V111" s="57">
        <v>0.60595871547295455</v>
      </c>
      <c r="AH111" t="s">
        <v>2</v>
      </c>
      <c r="AI111">
        <v>3.6266495885286999E-2</v>
      </c>
      <c r="AJ111">
        <v>6.1263861110524002E-2</v>
      </c>
      <c r="AK111" s="57">
        <v>0.90700000000000003</v>
      </c>
      <c r="AL111">
        <v>-0.16926311074402101</v>
      </c>
      <c r="AM111">
        <v>0.24179610251439501</v>
      </c>
    </row>
    <row r="112" spans="1:39">
      <c r="A112" s="94" t="s">
        <v>139</v>
      </c>
      <c r="B112" s="52" t="s">
        <v>3</v>
      </c>
      <c r="C112" s="53">
        <v>0.24786233217510101</v>
      </c>
      <c r="D112" s="54">
        <v>5</v>
      </c>
      <c r="E112" s="55" t="s">
        <v>153</v>
      </c>
      <c r="F112" s="56">
        <v>0.80491919071545781</v>
      </c>
      <c r="G112" s="54">
        <v>5</v>
      </c>
      <c r="H112" s="57">
        <v>8.8817047837727855E-2</v>
      </c>
      <c r="I112" s="42"/>
      <c r="P112" s="101"/>
      <c r="Q112" s="77" t="s">
        <v>164</v>
      </c>
      <c r="R112" s="71">
        <v>407.48479077244463</v>
      </c>
      <c r="S112" s="70">
        <v>12</v>
      </c>
      <c r="T112" s="80">
        <v>33.957065897703721</v>
      </c>
      <c r="U112" s="79"/>
      <c r="V112" s="57"/>
      <c r="AE112" t="s">
        <v>111</v>
      </c>
      <c r="AF112" t="s">
        <v>182</v>
      </c>
      <c r="AG112" t="s">
        <v>3</v>
      </c>
      <c r="AH112" t="s">
        <v>2</v>
      </c>
      <c r="AI112">
        <v>-0.44548224238279399</v>
      </c>
      <c r="AJ112">
        <v>0.32290536605093201</v>
      </c>
      <c r="AK112" s="57">
        <v>0.38200000000000001</v>
      </c>
      <c r="AL112">
        <v>-1.30694973382451</v>
      </c>
      <c r="AM112">
        <v>0.41598524905912398</v>
      </c>
    </row>
    <row r="113" spans="1:39">
      <c r="A113" s="94"/>
      <c r="B113" s="52" t="s">
        <v>2</v>
      </c>
      <c r="C113" s="53">
        <v>0.25634156394198127</v>
      </c>
      <c r="D113" s="54">
        <v>5</v>
      </c>
      <c r="E113" s="55" t="s">
        <v>153</v>
      </c>
      <c r="F113" s="56">
        <v>0.83169638599233564</v>
      </c>
      <c r="G113" s="54">
        <v>5</v>
      </c>
      <c r="H113" s="57">
        <v>0.14324515081757172</v>
      </c>
      <c r="I113" s="42"/>
      <c r="P113" s="101"/>
      <c r="Q113" s="77" t="s">
        <v>165</v>
      </c>
      <c r="R113" s="71">
        <v>442.96651442341704</v>
      </c>
      <c r="S113" s="70">
        <v>14</v>
      </c>
      <c r="T113" s="79"/>
      <c r="U113" s="79"/>
      <c r="V113" s="57"/>
      <c r="AH113" t="s">
        <v>1</v>
      </c>
      <c r="AI113">
        <v>-0.26914441340583101</v>
      </c>
      <c r="AJ113">
        <v>0.32290536605093201</v>
      </c>
      <c r="AK113" s="57">
        <v>0.69</v>
      </c>
      <c r="AL113">
        <v>-1.13061190484754</v>
      </c>
      <c r="AM113">
        <v>0.59232307803608697</v>
      </c>
    </row>
    <row r="114" spans="1:39">
      <c r="A114" s="94"/>
      <c r="B114" s="52" t="s">
        <v>1</v>
      </c>
      <c r="C114" s="53">
        <v>0.22796311620843723</v>
      </c>
      <c r="D114" s="54">
        <v>5</v>
      </c>
      <c r="E114" s="55" t="s">
        <v>153</v>
      </c>
      <c r="F114" s="56">
        <v>0.88149418140329161</v>
      </c>
      <c r="G114" s="54">
        <v>5</v>
      </c>
      <c r="H114" s="57">
        <v>0.31613684171421969</v>
      </c>
      <c r="I114" s="42"/>
      <c r="P114" s="101" t="s">
        <v>138</v>
      </c>
      <c r="Q114" s="77" t="s">
        <v>163</v>
      </c>
      <c r="R114" s="71">
        <v>106.61349164621237</v>
      </c>
      <c r="S114" s="70">
        <v>2</v>
      </c>
      <c r="T114" s="80">
        <v>53.306745823106183</v>
      </c>
      <c r="U114" s="80">
        <v>2.079511453584626</v>
      </c>
      <c r="V114" s="57">
        <v>0.16772465090813377</v>
      </c>
      <c r="AG114" t="s">
        <v>2</v>
      </c>
      <c r="AH114" t="s">
        <v>3</v>
      </c>
      <c r="AI114">
        <v>0.44548224238279399</v>
      </c>
      <c r="AJ114">
        <v>0.32290536605093201</v>
      </c>
      <c r="AK114" s="57">
        <v>0.38200000000000001</v>
      </c>
      <c r="AL114">
        <v>-0.41598524905912398</v>
      </c>
      <c r="AM114">
        <v>1.30694973382451</v>
      </c>
    </row>
    <row r="115" spans="1:39">
      <c r="A115" s="94" t="s">
        <v>140</v>
      </c>
      <c r="B115" s="52" t="s">
        <v>3</v>
      </c>
      <c r="C115" s="53">
        <v>0.37412192039282477</v>
      </c>
      <c r="D115" s="54">
        <v>5</v>
      </c>
      <c r="E115" s="56">
        <v>2.1058620657536668E-2</v>
      </c>
      <c r="F115" s="56">
        <v>0.7316203575288136</v>
      </c>
      <c r="G115" s="54">
        <v>5</v>
      </c>
      <c r="H115" s="57">
        <v>1.9933558245886204E-2</v>
      </c>
      <c r="I115" s="42"/>
      <c r="P115" s="101"/>
      <c r="Q115" s="77" t="s">
        <v>164</v>
      </c>
      <c r="R115" s="71">
        <v>307.61116933239452</v>
      </c>
      <c r="S115" s="70">
        <v>12</v>
      </c>
      <c r="T115" s="80">
        <v>25.634264111032877</v>
      </c>
      <c r="U115" s="79"/>
      <c r="V115" s="57"/>
      <c r="AH115" t="s">
        <v>1</v>
      </c>
      <c r="AI115">
        <v>0.17633782897706299</v>
      </c>
      <c r="AJ115">
        <v>0.32290536605093201</v>
      </c>
      <c r="AK115" s="57">
        <v>0.85</v>
      </c>
      <c r="AL115">
        <v>-0.68512966246485496</v>
      </c>
      <c r="AM115">
        <v>1.03780532041878</v>
      </c>
    </row>
    <row r="116" spans="1:39">
      <c r="A116" s="94"/>
      <c r="B116" s="52" t="s">
        <v>2</v>
      </c>
      <c r="C116" s="53">
        <v>0.20800884277846104</v>
      </c>
      <c r="D116" s="54">
        <v>5</v>
      </c>
      <c r="E116" s="55" t="s">
        <v>153</v>
      </c>
      <c r="F116" s="56">
        <v>0.94560513205651764</v>
      </c>
      <c r="G116" s="54">
        <v>5</v>
      </c>
      <c r="H116" s="57">
        <v>0.70578643693632881</v>
      </c>
      <c r="I116" s="42"/>
      <c r="P116" s="101"/>
      <c r="Q116" s="77" t="s">
        <v>165</v>
      </c>
      <c r="R116" s="71">
        <v>414.22466097860689</v>
      </c>
      <c r="S116" s="70">
        <v>14</v>
      </c>
      <c r="T116" s="79"/>
      <c r="U116" s="79"/>
      <c r="V116" s="57"/>
      <c r="AG116" t="s">
        <v>1</v>
      </c>
      <c r="AH116" t="s">
        <v>3</v>
      </c>
      <c r="AI116">
        <v>0.26914441340583101</v>
      </c>
      <c r="AJ116">
        <v>0.32290536605093201</v>
      </c>
      <c r="AK116" s="57">
        <v>0.69</v>
      </c>
      <c r="AL116">
        <v>-0.59232307803608697</v>
      </c>
      <c r="AM116">
        <v>1.13061190484754</v>
      </c>
    </row>
    <row r="117" spans="1:39">
      <c r="A117" s="94"/>
      <c r="B117" s="52" t="s">
        <v>1</v>
      </c>
      <c r="C117" s="53">
        <v>0.35892260603084669</v>
      </c>
      <c r="D117" s="54">
        <v>5</v>
      </c>
      <c r="E117" s="56">
        <v>3.4062034205386504E-2</v>
      </c>
      <c r="F117" s="56">
        <v>0.76900742063483962</v>
      </c>
      <c r="G117" s="54">
        <v>5</v>
      </c>
      <c r="H117" s="57">
        <v>4.4216469278085729E-2</v>
      </c>
      <c r="I117" s="42"/>
      <c r="P117" s="101" t="s">
        <v>139</v>
      </c>
      <c r="Q117" s="77" t="s">
        <v>163</v>
      </c>
      <c r="R117" s="71">
        <v>22.113909297339902</v>
      </c>
      <c r="S117" s="70">
        <v>2</v>
      </c>
      <c r="T117" s="80">
        <v>11.056954648669951</v>
      </c>
      <c r="U117" s="80">
        <v>13.764814613397784</v>
      </c>
      <c r="V117" s="57">
        <v>7.8262016047904784E-4</v>
      </c>
      <c r="AH117" t="s">
        <v>2</v>
      </c>
      <c r="AI117">
        <v>-0.17633782897706299</v>
      </c>
      <c r="AJ117">
        <v>0.32290536605093201</v>
      </c>
      <c r="AK117" s="57">
        <v>0.85</v>
      </c>
      <c r="AL117">
        <v>-1.03780532041878</v>
      </c>
      <c r="AM117">
        <v>0.68512966246485496</v>
      </c>
    </row>
    <row r="118" spans="1:39">
      <c r="A118" s="94" t="s">
        <v>141</v>
      </c>
      <c r="B118" s="52" t="s">
        <v>3</v>
      </c>
      <c r="C118" s="53">
        <v>0.29640769667866307</v>
      </c>
      <c r="D118" s="54">
        <v>5</v>
      </c>
      <c r="E118" s="56">
        <v>0.17354394043334614</v>
      </c>
      <c r="F118" s="56">
        <v>0.82092323435086612</v>
      </c>
      <c r="G118" s="54">
        <v>5</v>
      </c>
      <c r="H118" s="57">
        <v>0.11869603039130967</v>
      </c>
      <c r="I118" s="42"/>
      <c r="P118" s="101"/>
      <c r="Q118" s="77" t="s">
        <v>164</v>
      </c>
      <c r="R118" s="71">
        <v>9.6393202168443217</v>
      </c>
      <c r="S118" s="70">
        <v>12</v>
      </c>
      <c r="T118" s="78">
        <v>0.80327668473702685</v>
      </c>
      <c r="U118" s="79"/>
      <c r="V118" s="57"/>
      <c r="AF118" t="s">
        <v>183</v>
      </c>
      <c r="AG118" t="s">
        <v>3</v>
      </c>
      <c r="AH118" t="s">
        <v>2</v>
      </c>
      <c r="AI118">
        <v>-0.44548224238279399</v>
      </c>
      <c r="AJ118">
        <v>0.30898495671561499</v>
      </c>
      <c r="AK118" s="57">
        <v>0.46899999999999997</v>
      </c>
      <c r="AL118">
        <v>-1.3928102134014899</v>
      </c>
      <c r="AM118">
        <v>0.50184572863610999</v>
      </c>
    </row>
    <row r="119" spans="1:39">
      <c r="A119" s="94"/>
      <c r="B119" s="52" t="s">
        <v>2</v>
      </c>
      <c r="C119" s="53">
        <v>0.2468171463723389</v>
      </c>
      <c r="D119" s="54">
        <v>5</v>
      </c>
      <c r="E119" s="55" t="s">
        <v>153</v>
      </c>
      <c r="F119" s="56">
        <v>0.87944821035076426</v>
      </c>
      <c r="G119" s="54">
        <v>5</v>
      </c>
      <c r="H119" s="57">
        <v>0.30681802578788114</v>
      </c>
      <c r="I119" s="42"/>
      <c r="P119" s="101"/>
      <c r="Q119" s="77" t="s">
        <v>165</v>
      </c>
      <c r="R119" s="71">
        <v>31.753229514184223</v>
      </c>
      <c r="S119" s="70">
        <v>14</v>
      </c>
      <c r="T119" s="79"/>
      <c r="U119" s="79"/>
      <c r="V119" s="57"/>
      <c r="AH119" t="s">
        <v>1</v>
      </c>
      <c r="AI119">
        <v>-0.26914441340583101</v>
      </c>
      <c r="AJ119">
        <v>0.349540717785983</v>
      </c>
      <c r="AK119" s="57">
        <v>0.84599999999999997</v>
      </c>
      <c r="AL119">
        <v>-1.3193762853625799</v>
      </c>
      <c r="AM119">
        <v>0.78108745855112005</v>
      </c>
    </row>
    <row r="120" spans="1:39">
      <c r="A120" s="94"/>
      <c r="B120" s="52" t="s">
        <v>1</v>
      </c>
      <c r="C120" s="53">
        <v>0.35488185866664335</v>
      </c>
      <c r="D120" s="54">
        <v>5</v>
      </c>
      <c r="E120" s="56">
        <v>3.854329835214642E-2</v>
      </c>
      <c r="F120" s="56">
        <v>0.72996025456888591</v>
      </c>
      <c r="G120" s="54">
        <v>5</v>
      </c>
      <c r="H120" s="57">
        <v>1.9207505730471159E-2</v>
      </c>
      <c r="I120" s="42"/>
      <c r="P120" s="101" t="s">
        <v>140</v>
      </c>
      <c r="Q120" s="77" t="s">
        <v>163</v>
      </c>
      <c r="R120" s="71">
        <v>29.215996810175138</v>
      </c>
      <c r="S120" s="70">
        <v>2</v>
      </c>
      <c r="T120" s="80">
        <v>14.607998405087569</v>
      </c>
      <c r="U120" s="80">
        <v>1.168526976664519</v>
      </c>
      <c r="V120" s="57">
        <v>0.34381748469638734</v>
      </c>
      <c r="AG120" t="s">
        <v>2</v>
      </c>
      <c r="AH120" t="s">
        <v>3</v>
      </c>
      <c r="AI120">
        <v>0.44548224238279399</v>
      </c>
      <c r="AJ120">
        <v>0.30898495671561499</v>
      </c>
      <c r="AK120" s="57">
        <v>0.46899999999999997</v>
      </c>
      <c r="AL120">
        <v>-0.50184572863610999</v>
      </c>
      <c r="AM120">
        <v>1.3928102134014899</v>
      </c>
    </row>
    <row r="121" spans="1:39">
      <c r="A121" s="94" t="s">
        <v>142</v>
      </c>
      <c r="B121" s="52" t="s">
        <v>3</v>
      </c>
      <c r="C121" s="53">
        <v>0.21107943602360935</v>
      </c>
      <c r="D121" s="54">
        <v>5</v>
      </c>
      <c r="E121" s="55" t="s">
        <v>153</v>
      </c>
      <c r="F121" s="56">
        <v>0.91091893162809645</v>
      </c>
      <c r="G121" s="54">
        <v>5</v>
      </c>
      <c r="H121" s="57">
        <v>0.47313230707976567</v>
      </c>
      <c r="I121" s="42"/>
      <c r="P121" s="101"/>
      <c r="Q121" s="77" t="s">
        <v>164</v>
      </c>
      <c r="R121" s="71">
        <v>150.01449205855849</v>
      </c>
      <c r="S121" s="70">
        <v>12</v>
      </c>
      <c r="T121" s="80">
        <v>12.50120767154654</v>
      </c>
      <c r="U121" s="79"/>
      <c r="V121" s="57"/>
      <c r="AH121" t="s">
        <v>1</v>
      </c>
      <c r="AI121">
        <v>0.17633782897706299</v>
      </c>
      <c r="AJ121">
        <v>0.30846913849940999</v>
      </c>
      <c r="AK121" s="57">
        <v>0.92800000000000005</v>
      </c>
      <c r="AL121">
        <v>-0.76908397150073604</v>
      </c>
      <c r="AM121">
        <v>1.1217596294546599</v>
      </c>
    </row>
    <row r="122" spans="1:39">
      <c r="A122" s="94"/>
      <c r="B122" s="52" t="s">
        <v>2</v>
      </c>
      <c r="C122" s="53">
        <v>0.27360272206370956</v>
      </c>
      <c r="D122" s="54">
        <v>5</v>
      </c>
      <c r="E122" s="55" t="s">
        <v>153</v>
      </c>
      <c r="F122" s="56">
        <v>0.85896418609200709</v>
      </c>
      <c r="G122" s="54">
        <v>5</v>
      </c>
      <c r="H122" s="57">
        <v>0.22455322735689584</v>
      </c>
      <c r="I122" s="42"/>
      <c r="P122" s="101"/>
      <c r="Q122" s="77" t="s">
        <v>165</v>
      </c>
      <c r="R122" s="71">
        <v>179.23048886873363</v>
      </c>
      <c r="S122" s="70">
        <v>14</v>
      </c>
      <c r="T122" s="79"/>
      <c r="U122" s="79"/>
      <c r="V122" s="57"/>
      <c r="AG122" t="s">
        <v>1</v>
      </c>
      <c r="AH122" t="s">
        <v>3</v>
      </c>
      <c r="AI122">
        <v>0.26914441340583101</v>
      </c>
      <c r="AJ122">
        <v>0.349540717785983</v>
      </c>
      <c r="AK122" s="57">
        <v>0.84599999999999997</v>
      </c>
      <c r="AL122">
        <v>-0.78108745855112005</v>
      </c>
      <c r="AM122">
        <v>1.3193762853625799</v>
      </c>
    </row>
    <row r="123" spans="1:39" ht="15" thickBot="1">
      <c r="A123" s="98"/>
      <c r="B123" s="58" t="s">
        <v>1</v>
      </c>
      <c r="C123" s="59">
        <v>0.3378930401326169</v>
      </c>
      <c r="D123" s="60">
        <v>5</v>
      </c>
      <c r="E123" s="61">
        <v>6.3557563026299918E-2</v>
      </c>
      <c r="F123" s="61">
        <v>0.79309460736112114</v>
      </c>
      <c r="G123" s="60">
        <v>5</v>
      </c>
      <c r="H123" s="57">
        <v>7.1100693485629876E-2</v>
      </c>
      <c r="I123" s="42"/>
      <c r="P123" s="101" t="s">
        <v>141</v>
      </c>
      <c r="Q123" s="77" t="s">
        <v>163</v>
      </c>
      <c r="R123" s="71">
        <v>1.6660909073460073</v>
      </c>
      <c r="S123" s="70">
        <v>2</v>
      </c>
      <c r="T123" s="78">
        <v>0.83304545367300364</v>
      </c>
      <c r="U123" s="80">
        <v>1.5453100408881093</v>
      </c>
      <c r="V123" s="57">
        <v>0.2528395234230727</v>
      </c>
      <c r="AH123" t="s">
        <v>2</v>
      </c>
      <c r="AI123">
        <v>-0.17633782897706299</v>
      </c>
      <c r="AJ123">
        <v>0.30846913849940999</v>
      </c>
      <c r="AK123" s="57">
        <v>0.92800000000000005</v>
      </c>
      <c r="AL123">
        <v>-1.1217596294546599</v>
      </c>
      <c r="AM123">
        <v>0.76908397150073604</v>
      </c>
    </row>
    <row r="124" spans="1:39" ht="15" thickTop="1">
      <c r="A124" s="99" t="s">
        <v>143</v>
      </c>
      <c r="B124" s="99"/>
      <c r="C124" s="99"/>
      <c r="D124" s="99"/>
      <c r="E124" s="99"/>
      <c r="F124" s="99"/>
      <c r="G124" s="99"/>
      <c r="H124" s="99"/>
      <c r="I124" s="42"/>
      <c r="P124" s="101"/>
      <c r="Q124" s="77" t="s">
        <v>164</v>
      </c>
      <c r="R124" s="71">
        <v>6.4689578010707169</v>
      </c>
      <c r="S124" s="70">
        <v>12</v>
      </c>
      <c r="T124" s="78">
        <v>0.53907981675589312</v>
      </c>
      <c r="U124" s="79"/>
      <c r="V124" s="57"/>
      <c r="AF124" t="s">
        <v>184</v>
      </c>
      <c r="AG124" t="s">
        <v>3</v>
      </c>
      <c r="AH124" t="s">
        <v>2</v>
      </c>
      <c r="AI124">
        <v>-0.44548224238279399</v>
      </c>
      <c r="AJ124">
        <v>0.30898495671561499</v>
      </c>
      <c r="AK124" s="57">
        <v>0.438</v>
      </c>
      <c r="AL124">
        <v>-1.37618412099951</v>
      </c>
      <c r="AM124">
        <v>0.48521963623412201</v>
      </c>
    </row>
    <row r="125" spans="1:39">
      <c r="A125" s="99" t="s">
        <v>144</v>
      </c>
      <c r="B125" s="99"/>
      <c r="C125" s="99"/>
      <c r="D125" s="99"/>
      <c r="E125" s="99"/>
      <c r="F125" s="99"/>
      <c r="G125" s="99"/>
      <c r="H125" s="99"/>
      <c r="I125" s="42"/>
      <c r="P125" s="101"/>
      <c r="Q125" s="77" t="s">
        <v>165</v>
      </c>
      <c r="R125" s="71">
        <v>8.1350487084167238</v>
      </c>
      <c r="S125" s="70">
        <v>14</v>
      </c>
      <c r="T125" s="79"/>
      <c r="U125" s="79"/>
      <c r="V125" s="57"/>
      <c r="AH125" t="s">
        <v>1</v>
      </c>
      <c r="AI125">
        <v>-0.26914441340583101</v>
      </c>
      <c r="AJ125">
        <v>0.349540717785983</v>
      </c>
      <c r="AK125" s="57">
        <v>0.82599999999999996</v>
      </c>
      <c r="AL125">
        <v>-1.30309058480125</v>
      </c>
      <c r="AM125">
        <v>0.764801757989789</v>
      </c>
    </row>
    <row r="126" spans="1:39">
      <c r="A126" s="99" t="s">
        <v>145</v>
      </c>
      <c r="B126" s="99"/>
      <c r="C126" s="99"/>
      <c r="D126" s="99"/>
      <c r="E126" s="99"/>
      <c r="F126" s="99"/>
      <c r="G126" s="99"/>
      <c r="H126" s="99"/>
      <c r="I126" s="42"/>
      <c r="P126" s="101" t="s">
        <v>142</v>
      </c>
      <c r="Q126" s="77" t="s">
        <v>163</v>
      </c>
      <c r="R126" s="71">
        <v>188.16211309119598</v>
      </c>
      <c r="S126" s="70">
        <v>2</v>
      </c>
      <c r="T126" s="80">
        <v>94.081056545597988</v>
      </c>
      <c r="U126" s="80">
        <v>322.06677684807551</v>
      </c>
      <c r="V126" s="57">
        <v>3.7422602904657381E-11</v>
      </c>
      <c r="AG126" t="s">
        <v>2</v>
      </c>
      <c r="AH126" t="s">
        <v>3</v>
      </c>
      <c r="AI126">
        <v>0.44548224238279399</v>
      </c>
      <c r="AJ126">
        <v>0.30898495671561499</v>
      </c>
      <c r="AK126" s="57">
        <v>0.438</v>
      </c>
      <c r="AL126">
        <v>-0.48521963623412201</v>
      </c>
      <c r="AM126">
        <v>1.37618412099951</v>
      </c>
    </row>
    <row r="127" spans="1:39">
      <c r="A127" s="99" t="s">
        <v>146</v>
      </c>
      <c r="B127" s="99"/>
      <c r="C127" s="99"/>
      <c r="D127" s="99"/>
      <c r="E127" s="99"/>
      <c r="F127" s="99"/>
      <c r="G127" s="99"/>
      <c r="H127" s="99"/>
      <c r="I127" s="42"/>
      <c r="P127" s="101"/>
      <c r="Q127" s="77" t="s">
        <v>164</v>
      </c>
      <c r="R127" s="71">
        <v>3.5053993758559328</v>
      </c>
      <c r="S127" s="70">
        <v>12</v>
      </c>
      <c r="T127" s="78">
        <v>0.29211661465466104</v>
      </c>
      <c r="U127" s="79"/>
      <c r="V127" s="57"/>
      <c r="AH127" t="s">
        <v>1</v>
      </c>
      <c r="AI127">
        <v>0.17633782897706299</v>
      </c>
      <c r="AJ127">
        <v>0.30846913849940999</v>
      </c>
      <c r="AK127" s="57">
        <v>0.91600000000000004</v>
      </c>
      <c r="AL127">
        <v>-0.75252492695163198</v>
      </c>
      <c r="AM127">
        <v>1.10520058490555</v>
      </c>
    </row>
    <row r="128" spans="1:39" ht="15" thickBot="1">
      <c r="A128" s="99" t="s">
        <v>147</v>
      </c>
      <c r="B128" s="99"/>
      <c r="C128" s="99"/>
      <c r="D128" s="99"/>
      <c r="E128" s="99"/>
      <c r="F128" s="99"/>
      <c r="G128" s="99"/>
      <c r="H128" s="99"/>
      <c r="I128" s="42"/>
      <c r="P128" s="112"/>
      <c r="Q128" s="81" t="s">
        <v>165</v>
      </c>
      <c r="R128" s="82">
        <v>191.66751246705192</v>
      </c>
      <c r="S128" s="74">
        <v>14</v>
      </c>
      <c r="T128" s="83"/>
      <c r="U128" s="83"/>
      <c r="V128" s="57"/>
      <c r="AG128" t="s">
        <v>1</v>
      </c>
      <c r="AH128" t="s">
        <v>3</v>
      </c>
      <c r="AI128">
        <v>0.26914441340583101</v>
      </c>
      <c r="AJ128">
        <v>0.349540717785983</v>
      </c>
      <c r="AK128" s="57">
        <v>0.82599999999999996</v>
      </c>
      <c r="AL128">
        <v>-0.764801757989789</v>
      </c>
      <c r="AM128">
        <v>1.30309058480125</v>
      </c>
    </row>
    <row r="129" spans="1:39" ht="15" thickTop="1">
      <c r="A129" s="99" t="s">
        <v>148</v>
      </c>
      <c r="B129" s="99"/>
      <c r="C129" s="99"/>
      <c r="D129" s="99"/>
      <c r="E129" s="99"/>
      <c r="F129" s="99"/>
      <c r="G129" s="99"/>
      <c r="H129" s="99"/>
      <c r="I129" s="42"/>
      <c r="AH129" t="s">
        <v>2</v>
      </c>
      <c r="AI129">
        <v>-0.17633782897706299</v>
      </c>
      <c r="AJ129">
        <v>0.30846913849940999</v>
      </c>
      <c r="AK129" s="57">
        <v>0.91600000000000004</v>
      </c>
      <c r="AL129">
        <v>-1.10520058490555</v>
      </c>
      <c r="AM129">
        <v>0.75252492695163198</v>
      </c>
    </row>
    <row r="130" spans="1:39">
      <c r="A130" s="99" t="s">
        <v>149</v>
      </c>
      <c r="B130" s="99"/>
      <c r="C130" s="99"/>
      <c r="D130" s="99"/>
      <c r="E130" s="99"/>
      <c r="F130" s="99"/>
      <c r="G130" s="99"/>
      <c r="H130" s="99"/>
      <c r="I130" s="42"/>
      <c r="AE130" t="s">
        <v>112</v>
      </c>
      <c r="AF130" t="s">
        <v>182</v>
      </c>
      <c r="AG130" t="s">
        <v>3</v>
      </c>
      <c r="AH130" t="s">
        <v>2</v>
      </c>
      <c r="AI130">
        <v>2.9442254366669998E-3</v>
      </c>
      <c r="AJ130">
        <v>2.1048092279896E-2</v>
      </c>
      <c r="AK130" s="57">
        <v>0.98899999999999999</v>
      </c>
      <c r="AL130">
        <v>-5.3209215051899003E-2</v>
      </c>
      <c r="AM130">
        <v>5.9097665925033002E-2</v>
      </c>
    </row>
    <row r="131" spans="1:39">
      <c r="A131" s="99" t="s">
        <v>150</v>
      </c>
      <c r="B131" s="99"/>
      <c r="C131" s="99"/>
      <c r="D131" s="99"/>
      <c r="E131" s="99"/>
      <c r="F131" s="99"/>
      <c r="G131" s="99"/>
      <c r="H131" s="99"/>
      <c r="I131" s="42"/>
      <c r="AH131" t="s">
        <v>1</v>
      </c>
      <c r="AI131">
        <v>-1.3590031785215E-2</v>
      </c>
      <c r="AJ131">
        <v>2.1048092279896E-2</v>
      </c>
      <c r="AK131" s="57">
        <v>0.79800000000000004</v>
      </c>
      <c r="AL131">
        <v>-6.9743472273581006E-2</v>
      </c>
      <c r="AM131">
        <v>4.2563408703350999E-2</v>
      </c>
    </row>
    <row r="132" spans="1:39">
      <c r="AG132" t="s">
        <v>2</v>
      </c>
      <c r="AH132" t="s">
        <v>3</v>
      </c>
      <c r="AI132">
        <v>-2.9442254366669998E-3</v>
      </c>
      <c r="AJ132">
        <v>2.1048092279896E-2</v>
      </c>
      <c r="AK132" s="57">
        <v>0.98899999999999999</v>
      </c>
      <c r="AL132">
        <v>-5.9097665925033002E-2</v>
      </c>
      <c r="AM132">
        <v>5.3209215051899003E-2</v>
      </c>
    </row>
    <row r="133" spans="1:39">
      <c r="AH133" t="s">
        <v>1</v>
      </c>
      <c r="AI133">
        <v>-1.6534257221781999E-2</v>
      </c>
      <c r="AJ133">
        <v>2.1048092279896E-2</v>
      </c>
      <c r="AK133" s="57">
        <v>0.71899999999999997</v>
      </c>
      <c r="AL133">
        <v>-7.2687697710148005E-2</v>
      </c>
      <c r="AM133">
        <v>3.9619183266783001E-2</v>
      </c>
    </row>
    <row r="134" spans="1:39">
      <c r="AG134" t="s">
        <v>1</v>
      </c>
      <c r="AH134" t="s">
        <v>3</v>
      </c>
      <c r="AI134">
        <v>1.3590031785215E-2</v>
      </c>
      <c r="AJ134">
        <v>2.1048092279896E-2</v>
      </c>
      <c r="AK134" s="57">
        <v>0.79800000000000004</v>
      </c>
      <c r="AL134">
        <v>-4.2563408703350999E-2</v>
      </c>
      <c r="AM134">
        <v>6.9743472273581006E-2</v>
      </c>
    </row>
    <row r="135" spans="1:39">
      <c r="AH135" t="s">
        <v>2</v>
      </c>
      <c r="AI135">
        <v>1.6534257221781999E-2</v>
      </c>
      <c r="AJ135">
        <v>2.1048092279896E-2</v>
      </c>
      <c r="AK135" s="57">
        <v>0.71899999999999997</v>
      </c>
      <c r="AL135">
        <v>-3.9619183266783001E-2</v>
      </c>
      <c r="AM135">
        <v>7.2687697710148005E-2</v>
      </c>
    </row>
    <row r="136" spans="1:39">
      <c r="AF136" t="s">
        <v>183</v>
      </c>
      <c r="AG136" t="s">
        <v>3</v>
      </c>
      <c r="AH136" t="s">
        <v>2</v>
      </c>
      <c r="AI136">
        <v>2.9442254366669998E-3</v>
      </c>
      <c r="AJ136">
        <v>2.4999504045377E-2</v>
      </c>
      <c r="AK136" s="57">
        <v>0.999</v>
      </c>
      <c r="AL136">
        <v>-7.2313164063969995E-2</v>
      </c>
      <c r="AM136">
        <v>7.8201614937104993E-2</v>
      </c>
    </row>
    <row r="137" spans="1:39">
      <c r="AH137" t="s">
        <v>1</v>
      </c>
      <c r="AI137">
        <v>-1.3590031785215E-2</v>
      </c>
      <c r="AJ137">
        <v>1.9476861875861999E-2</v>
      </c>
      <c r="AK137" s="57">
        <v>0.88700000000000001</v>
      </c>
      <c r="AL137">
        <v>-8.2613218404026995E-2</v>
      </c>
      <c r="AM137">
        <v>5.5433154833796003E-2</v>
      </c>
    </row>
    <row r="138" spans="1:39">
      <c r="AG138" t="s">
        <v>2</v>
      </c>
      <c r="AH138" t="s">
        <v>3</v>
      </c>
      <c r="AI138">
        <v>-2.9442254366669998E-3</v>
      </c>
      <c r="AJ138">
        <v>2.4999504045377E-2</v>
      </c>
      <c r="AK138" s="57">
        <v>0.999</v>
      </c>
      <c r="AL138">
        <v>-7.8201614937104993E-2</v>
      </c>
      <c r="AM138">
        <v>7.2313164063969995E-2</v>
      </c>
    </row>
    <row r="139" spans="1:39">
      <c r="AH139" t="s">
        <v>1</v>
      </c>
      <c r="AI139">
        <v>-1.6534257221781999E-2</v>
      </c>
      <c r="AJ139">
        <v>1.8020633030576001E-2</v>
      </c>
      <c r="AK139" s="57">
        <v>0.78400000000000003</v>
      </c>
      <c r="AL139">
        <v>-7.9449460377101003E-2</v>
      </c>
      <c r="AM139">
        <v>4.6380945933735998E-2</v>
      </c>
    </row>
    <row r="140" spans="1:39">
      <c r="AG140" t="s">
        <v>1</v>
      </c>
      <c r="AH140" t="s">
        <v>3</v>
      </c>
      <c r="AI140">
        <v>1.3590031785215E-2</v>
      </c>
      <c r="AJ140">
        <v>1.9476861875861999E-2</v>
      </c>
      <c r="AK140" s="57">
        <v>0.88700000000000001</v>
      </c>
      <c r="AL140">
        <v>-5.5433154833796003E-2</v>
      </c>
      <c r="AM140">
        <v>8.2613218404026995E-2</v>
      </c>
    </row>
    <row r="141" spans="1:39">
      <c r="AH141" t="s">
        <v>2</v>
      </c>
      <c r="AI141">
        <v>1.6534257221781999E-2</v>
      </c>
      <c r="AJ141">
        <v>1.8020633030576001E-2</v>
      </c>
      <c r="AK141" s="57">
        <v>0.78400000000000003</v>
      </c>
      <c r="AL141">
        <v>-4.6380945933735998E-2</v>
      </c>
      <c r="AM141">
        <v>7.9449460377101003E-2</v>
      </c>
    </row>
    <row r="142" spans="1:39">
      <c r="AF142" t="s">
        <v>184</v>
      </c>
      <c r="AG142" t="s">
        <v>3</v>
      </c>
      <c r="AH142" t="s">
        <v>2</v>
      </c>
      <c r="AI142">
        <v>2.9442254366669998E-3</v>
      </c>
      <c r="AJ142">
        <v>2.4999504045377E-2</v>
      </c>
      <c r="AK142" s="57">
        <v>0.999</v>
      </c>
      <c r="AL142">
        <v>-7.1131925026714005E-2</v>
      </c>
      <c r="AM142">
        <v>7.7020375899849003E-2</v>
      </c>
    </row>
    <row r="143" spans="1:39">
      <c r="AH143" t="s">
        <v>1</v>
      </c>
      <c r="AI143">
        <v>-1.3590031785215E-2</v>
      </c>
      <c r="AJ143">
        <v>1.9476861875861999E-2</v>
      </c>
      <c r="AK143" s="57">
        <v>0.86099999999999999</v>
      </c>
      <c r="AL143">
        <v>-8.0213869869611001E-2</v>
      </c>
      <c r="AM143">
        <v>5.3033806299380003E-2</v>
      </c>
    </row>
    <row r="144" spans="1:39">
      <c r="AG144" t="s">
        <v>2</v>
      </c>
      <c r="AH144" t="s">
        <v>3</v>
      </c>
      <c r="AI144">
        <v>-2.9442254366669998E-3</v>
      </c>
      <c r="AJ144">
        <v>2.4999504045377E-2</v>
      </c>
      <c r="AK144" s="57">
        <v>0.999</v>
      </c>
      <c r="AL144">
        <v>-7.7020375899849003E-2</v>
      </c>
      <c r="AM144">
        <v>7.1131925026714005E-2</v>
      </c>
    </row>
    <row r="145" spans="31:39">
      <c r="AH145" t="s">
        <v>1</v>
      </c>
      <c r="AI145">
        <v>-1.6534257221781999E-2</v>
      </c>
      <c r="AJ145">
        <v>1.8020633030576001E-2</v>
      </c>
      <c r="AK145" s="57">
        <v>0.746</v>
      </c>
      <c r="AL145">
        <v>-7.7385928993764994E-2</v>
      </c>
      <c r="AM145">
        <v>4.4317414550400003E-2</v>
      </c>
    </row>
    <row r="146" spans="31:39">
      <c r="AG146" t="s">
        <v>1</v>
      </c>
      <c r="AH146" t="s">
        <v>3</v>
      </c>
      <c r="AI146">
        <v>1.3590031785215E-2</v>
      </c>
      <c r="AJ146">
        <v>1.9476861875861999E-2</v>
      </c>
      <c r="AK146" s="57">
        <v>0.86099999999999999</v>
      </c>
      <c r="AL146">
        <v>-5.3033806299380003E-2</v>
      </c>
      <c r="AM146">
        <v>8.0213869869611001E-2</v>
      </c>
    </row>
    <row r="147" spans="31:39">
      <c r="AH147" t="s">
        <v>2</v>
      </c>
      <c r="AI147">
        <v>1.6534257221781999E-2</v>
      </c>
      <c r="AJ147">
        <v>1.8020633030576001E-2</v>
      </c>
      <c r="AK147" s="57">
        <v>0.746</v>
      </c>
      <c r="AL147">
        <v>-4.4317414550400003E-2</v>
      </c>
      <c r="AM147">
        <v>7.7385928993764994E-2</v>
      </c>
    </row>
    <row r="148" spans="31:39">
      <c r="AE148" t="s">
        <v>113</v>
      </c>
      <c r="AF148" t="s">
        <v>182</v>
      </c>
      <c r="AG148" t="s">
        <v>3</v>
      </c>
      <c r="AH148" t="s">
        <v>2</v>
      </c>
      <c r="AI148">
        <v>-1.0276301704692001E-2</v>
      </c>
      <c r="AJ148">
        <v>1.8222158911207001E-2</v>
      </c>
      <c r="AK148" s="57">
        <v>0.84099999999999997</v>
      </c>
      <c r="AL148">
        <v>-5.8890537255463997E-2</v>
      </c>
      <c r="AM148">
        <v>3.8337933846280002E-2</v>
      </c>
    </row>
    <row r="149" spans="31:39">
      <c r="AH149" t="s">
        <v>1</v>
      </c>
      <c r="AI149">
        <v>4.6084475426720001E-3</v>
      </c>
      <c r="AJ149">
        <v>1.8222158911207001E-2</v>
      </c>
      <c r="AK149" s="57">
        <v>0.96499999999999997</v>
      </c>
      <c r="AL149">
        <v>-4.4005788008299997E-2</v>
      </c>
      <c r="AM149">
        <v>5.3222683093445002E-2</v>
      </c>
    </row>
    <row r="150" spans="31:39">
      <c r="AG150" t="s">
        <v>2</v>
      </c>
      <c r="AH150" t="s">
        <v>3</v>
      </c>
      <c r="AI150">
        <v>1.0276301704692001E-2</v>
      </c>
      <c r="AJ150">
        <v>1.8222158911207001E-2</v>
      </c>
      <c r="AK150" s="57">
        <v>0.84099999999999997</v>
      </c>
      <c r="AL150">
        <v>-3.8337933846280002E-2</v>
      </c>
      <c r="AM150">
        <v>5.8890537255463997E-2</v>
      </c>
    </row>
    <row r="151" spans="31:39">
      <c r="AH151" t="s">
        <v>1</v>
      </c>
      <c r="AI151">
        <v>1.4884749247264E-2</v>
      </c>
      <c r="AJ151">
        <v>1.8222158911207001E-2</v>
      </c>
      <c r="AK151" s="57">
        <v>0.7</v>
      </c>
      <c r="AL151">
        <v>-3.3729486303707999E-2</v>
      </c>
      <c r="AM151">
        <v>6.3498984798037006E-2</v>
      </c>
    </row>
    <row r="152" spans="31:39">
      <c r="AG152" t="s">
        <v>1</v>
      </c>
      <c r="AH152" t="s">
        <v>3</v>
      </c>
      <c r="AI152">
        <v>-4.6084475426720001E-3</v>
      </c>
      <c r="AJ152">
        <v>1.8222158911207001E-2</v>
      </c>
      <c r="AK152" s="57">
        <v>0.96499999999999997</v>
      </c>
      <c r="AL152">
        <v>-5.3222683093445002E-2</v>
      </c>
      <c r="AM152">
        <v>4.4005788008299997E-2</v>
      </c>
    </row>
    <row r="153" spans="31:39">
      <c r="AH153" t="s">
        <v>2</v>
      </c>
      <c r="AI153">
        <v>-1.4884749247264E-2</v>
      </c>
      <c r="AJ153">
        <v>1.8222158911207001E-2</v>
      </c>
      <c r="AK153" s="57">
        <v>0.7</v>
      </c>
      <c r="AL153">
        <v>-6.3498984798037006E-2</v>
      </c>
      <c r="AM153">
        <v>3.3729486303707999E-2</v>
      </c>
    </row>
    <row r="154" spans="31:39">
      <c r="AF154" t="s">
        <v>183</v>
      </c>
      <c r="AG154" t="s">
        <v>3</v>
      </c>
      <c r="AH154" t="s">
        <v>2</v>
      </c>
      <c r="AI154">
        <v>-1.0276301704692001E-2</v>
      </c>
      <c r="AJ154">
        <v>2.1000098515763E-2</v>
      </c>
      <c r="AK154" s="57">
        <v>0.95599999999999996</v>
      </c>
      <c r="AL154">
        <v>-8.6729183629926002E-2</v>
      </c>
      <c r="AM154">
        <v>6.6176580220742007E-2</v>
      </c>
    </row>
    <row r="155" spans="31:39">
      <c r="AH155" t="s">
        <v>1</v>
      </c>
      <c r="AI155">
        <v>4.6084475426720001E-3</v>
      </c>
      <c r="AJ155">
        <v>9.4900763255249994E-3</v>
      </c>
      <c r="AK155" s="57">
        <v>0.95399999999999996</v>
      </c>
      <c r="AL155">
        <v>-2.4423418303259999E-2</v>
      </c>
      <c r="AM155">
        <v>3.3640313388404001E-2</v>
      </c>
    </row>
    <row r="156" spans="31:39">
      <c r="AG156" t="s">
        <v>2</v>
      </c>
      <c r="AH156" t="s">
        <v>3</v>
      </c>
      <c r="AI156">
        <v>1.0276301704692001E-2</v>
      </c>
      <c r="AJ156">
        <v>2.1000098515763E-2</v>
      </c>
      <c r="AK156" s="57">
        <v>0.95599999999999996</v>
      </c>
      <c r="AL156">
        <v>-6.6176580220742007E-2</v>
      </c>
      <c r="AM156">
        <v>8.6729183629926002E-2</v>
      </c>
    </row>
    <row r="157" spans="31:39">
      <c r="AH157" t="s">
        <v>1</v>
      </c>
      <c r="AI157">
        <v>1.4884749247264E-2</v>
      </c>
      <c r="AJ157">
        <v>2.1565610119337001E-2</v>
      </c>
      <c r="AK157" s="57">
        <v>0.89</v>
      </c>
      <c r="AL157">
        <v>-6.0351472922578003E-2</v>
      </c>
      <c r="AM157">
        <v>9.0120971416906004E-2</v>
      </c>
    </row>
    <row r="158" spans="31:39">
      <c r="AG158" t="s">
        <v>1</v>
      </c>
      <c r="AH158" t="s">
        <v>3</v>
      </c>
      <c r="AI158">
        <v>-4.6084475426720001E-3</v>
      </c>
      <c r="AJ158">
        <v>9.4900763255249994E-3</v>
      </c>
      <c r="AK158" s="57">
        <v>0.95399999999999996</v>
      </c>
      <c r="AL158">
        <v>-3.3640313388404001E-2</v>
      </c>
      <c r="AM158">
        <v>2.4423418303259999E-2</v>
      </c>
    </row>
    <row r="159" spans="31:39">
      <c r="AH159" t="s">
        <v>2</v>
      </c>
      <c r="AI159">
        <v>-1.4884749247264E-2</v>
      </c>
      <c r="AJ159">
        <v>2.1565610119337001E-2</v>
      </c>
      <c r="AK159" s="57">
        <v>0.89</v>
      </c>
      <c r="AL159">
        <v>-9.0120971416906004E-2</v>
      </c>
      <c r="AM159">
        <v>6.0351472922578003E-2</v>
      </c>
    </row>
    <row r="160" spans="31:39">
      <c r="AF160" t="s">
        <v>184</v>
      </c>
      <c r="AG160" t="s">
        <v>3</v>
      </c>
      <c r="AH160" t="s">
        <v>2</v>
      </c>
      <c r="AI160">
        <v>-1.0276301704692001E-2</v>
      </c>
      <c r="AJ160">
        <v>2.1000098515763E-2</v>
      </c>
      <c r="AK160" s="57">
        <v>0.94299999999999995</v>
      </c>
      <c r="AL160">
        <v>-8.3793805623222001E-2</v>
      </c>
      <c r="AM160">
        <v>6.3241202214038006E-2</v>
      </c>
    </row>
    <row r="161" spans="31:39">
      <c r="AH161" t="s">
        <v>1</v>
      </c>
      <c r="AI161">
        <v>4.6084475426720001E-3</v>
      </c>
      <c r="AJ161">
        <v>9.4900763255249994E-3</v>
      </c>
      <c r="AK161" s="57">
        <v>0.94599999999999995</v>
      </c>
      <c r="AL161">
        <v>-2.3920505497249001E-2</v>
      </c>
      <c r="AM161">
        <v>3.3137400582392999E-2</v>
      </c>
    </row>
    <row r="162" spans="31:39">
      <c r="AG162" t="s">
        <v>2</v>
      </c>
      <c r="AH162" t="s">
        <v>3</v>
      </c>
      <c r="AI162">
        <v>1.0276301704692001E-2</v>
      </c>
      <c r="AJ162">
        <v>2.1000098515763E-2</v>
      </c>
      <c r="AK162" s="57">
        <v>0.94299999999999995</v>
      </c>
      <c r="AL162">
        <v>-6.3241202214038006E-2</v>
      </c>
      <c r="AM162">
        <v>8.3793805623222001E-2</v>
      </c>
    </row>
    <row r="163" spans="31:39">
      <c r="AH163" t="s">
        <v>1</v>
      </c>
      <c r="AI163">
        <v>1.4884749247264E-2</v>
      </c>
      <c r="AJ163">
        <v>2.1565610119337001E-2</v>
      </c>
      <c r="AK163" s="57">
        <v>0.86499999999999999</v>
      </c>
      <c r="AL163">
        <v>-5.7891041433817E-2</v>
      </c>
      <c r="AM163">
        <v>8.7660539928145001E-2</v>
      </c>
    </row>
    <row r="164" spans="31:39">
      <c r="AG164" t="s">
        <v>1</v>
      </c>
      <c r="AH164" t="s">
        <v>3</v>
      </c>
      <c r="AI164">
        <v>-4.6084475426720001E-3</v>
      </c>
      <c r="AJ164">
        <v>9.4900763255249994E-3</v>
      </c>
      <c r="AK164" s="57">
        <v>0.94599999999999995</v>
      </c>
      <c r="AL164">
        <v>-3.3137400582392999E-2</v>
      </c>
      <c r="AM164">
        <v>2.3920505497249001E-2</v>
      </c>
    </row>
    <row r="165" spans="31:39">
      <c r="AH165" t="s">
        <v>2</v>
      </c>
      <c r="AI165">
        <v>-1.4884749247264E-2</v>
      </c>
      <c r="AJ165">
        <v>2.1565610119337001E-2</v>
      </c>
      <c r="AK165" s="57">
        <v>0.86499999999999999</v>
      </c>
      <c r="AL165">
        <v>-8.7660539928145001E-2</v>
      </c>
      <c r="AM165">
        <v>5.7891041433817E-2</v>
      </c>
    </row>
    <row r="166" spans="31:39">
      <c r="AE166" t="s">
        <v>114</v>
      </c>
      <c r="AF166" t="s">
        <v>182</v>
      </c>
      <c r="AG166" t="s">
        <v>3</v>
      </c>
      <c r="AH166" t="s">
        <v>2</v>
      </c>
      <c r="AI166">
        <v>0.331578165228263</v>
      </c>
      <c r="AJ166">
        <v>0.235218663156816</v>
      </c>
      <c r="AK166" s="57">
        <v>0.36699999999999999</v>
      </c>
      <c r="AL166">
        <v>-0.29595315816899498</v>
      </c>
      <c r="AM166">
        <v>0.95910948862532097</v>
      </c>
    </row>
    <row r="167" spans="31:39">
      <c r="AH167" t="s">
        <v>1</v>
      </c>
      <c r="AI167">
        <v>0.47831342048992598</v>
      </c>
      <c r="AJ167">
        <v>0.235218663156816</v>
      </c>
      <c r="AK167" s="57">
        <v>0.14699999999999999</v>
      </c>
      <c r="AL167">
        <v>-0.149217902907332</v>
      </c>
      <c r="AM167">
        <v>1.1058447438869801</v>
      </c>
    </row>
    <row r="168" spans="31:39">
      <c r="AG168" t="s">
        <v>2</v>
      </c>
      <c r="AH168" t="s">
        <v>3</v>
      </c>
      <c r="AI168">
        <v>-0.331578165228263</v>
      </c>
      <c r="AJ168">
        <v>0.235218663156816</v>
      </c>
      <c r="AK168" s="57">
        <v>0.36699999999999999</v>
      </c>
      <c r="AL168">
        <v>-0.95910948862532097</v>
      </c>
      <c r="AM168">
        <v>0.29595315816899498</v>
      </c>
    </row>
    <row r="169" spans="31:39">
      <c r="AH169" t="s">
        <v>1</v>
      </c>
      <c r="AI169">
        <v>0.14673525526176301</v>
      </c>
      <c r="AJ169">
        <v>0.235218663156816</v>
      </c>
      <c r="AK169" s="57">
        <v>0.81</v>
      </c>
      <c r="AL169">
        <v>-0.48079606813549502</v>
      </c>
      <c r="AM169">
        <v>0.77426657865882198</v>
      </c>
    </row>
    <row r="170" spans="31:39">
      <c r="AG170" t="s">
        <v>1</v>
      </c>
      <c r="AH170" t="s">
        <v>3</v>
      </c>
      <c r="AI170">
        <v>-0.47831342048992598</v>
      </c>
      <c r="AJ170">
        <v>0.235218663156816</v>
      </c>
      <c r="AK170" s="57">
        <v>0.14699999999999999</v>
      </c>
      <c r="AL170">
        <v>-1.1058447438869801</v>
      </c>
      <c r="AM170">
        <v>0.149217902907332</v>
      </c>
    </row>
    <row r="171" spans="31:39">
      <c r="AH171" t="s">
        <v>2</v>
      </c>
      <c r="AI171">
        <v>-0.14673525526176301</v>
      </c>
      <c r="AJ171">
        <v>0.235218663156816</v>
      </c>
      <c r="AK171" s="57">
        <v>0.81</v>
      </c>
      <c r="AL171">
        <v>-0.77426657865882198</v>
      </c>
      <c r="AM171">
        <v>0.48079606813549502</v>
      </c>
    </row>
    <row r="172" spans="31:39">
      <c r="AF172" t="s">
        <v>183</v>
      </c>
      <c r="AG172" t="s">
        <v>3</v>
      </c>
      <c r="AH172" t="s">
        <v>2</v>
      </c>
      <c r="AI172">
        <v>0.331578165228263</v>
      </c>
      <c r="AJ172">
        <v>0.24524243813331401</v>
      </c>
      <c r="AK172" s="57">
        <v>0.55200000000000005</v>
      </c>
      <c r="AL172">
        <v>-0.53315487460493105</v>
      </c>
      <c r="AM172">
        <v>1.1963112050612501</v>
      </c>
    </row>
    <row r="173" spans="31:39">
      <c r="AH173" t="s">
        <v>1</v>
      </c>
      <c r="AI173">
        <v>0.47831342048992598</v>
      </c>
      <c r="AJ173">
        <v>0.27635204906508198</v>
      </c>
      <c r="AK173" s="57">
        <v>0.33600000000000002</v>
      </c>
      <c r="AL173">
        <v>-0.38672928407206097</v>
      </c>
      <c r="AM173">
        <v>1.3433561250517101</v>
      </c>
    </row>
    <row r="174" spans="31:39">
      <c r="AG174" t="s">
        <v>2</v>
      </c>
      <c r="AH174" t="s">
        <v>3</v>
      </c>
      <c r="AI174">
        <v>-0.331578165228263</v>
      </c>
      <c r="AJ174">
        <v>0.24524243813331401</v>
      </c>
      <c r="AK174" s="57">
        <v>0.55200000000000005</v>
      </c>
      <c r="AL174">
        <v>-1.1963112050612501</v>
      </c>
      <c r="AM174">
        <v>0.53315487460493105</v>
      </c>
    </row>
    <row r="175" spans="31:39">
      <c r="AH175" t="s">
        <v>1</v>
      </c>
      <c r="AI175">
        <v>0.14673525526176301</v>
      </c>
      <c r="AJ175">
        <v>0.17166580908204801</v>
      </c>
      <c r="AK175" s="57">
        <v>0.81</v>
      </c>
      <c r="AL175">
        <v>-0.41082243565988702</v>
      </c>
      <c r="AM175">
        <v>0.70429294618321303</v>
      </c>
    </row>
    <row r="176" spans="31:39">
      <c r="AG176" t="s">
        <v>1</v>
      </c>
      <c r="AH176" t="s">
        <v>3</v>
      </c>
      <c r="AI176">
        <v>-0.47831342048992598</v>
      </c>
      <c r="AJ176">
        <v>0.27635204906508198</v>
      </c>
      <c r="AK176" s="57">
        <v>0.33600000000000002</v>
      </c>
      <c r="AL176">
        <v>-1.3433561250517101</v>
      </c>
      <c r="AM176">
        <v>0.38672928407206097</v>
      </c>
    </row>
    <row r="177" spans="31:39">
      <c r="AH177" t="s">
        <v>2</v>
      </c>
      <c r="AI177">
        <v>-0.14673525526176301</v>
      </c>
      <c r="AJ177">
        <v>0.17166580908204801</v>
      </c>
      <c r="AK177" s="57">
        <v>0.81</v>
      </c>
      <c r="AL177">
        <v>-0.70429294618321303</v>
      </c>
      <c r="AM177">
        <v>0.41082243565988702</v>
      </c>
    </row>
    <row r="178" spans="31:39">
      <c r="AF178" t="s">
        <v>184</v>
      </c>
      <c r="AG178" t="s">
        <v>3</v>
      </c>
      <c r="AH178" t="s">
        <v>2</v>
      </c>
      <c r="AI178">
        <v>0.331578165228263</v>
      </c>
      <c r="AJ178">
        <v>0.24524243813331401</v>
      </c>
      <c r="AK178" s="57">
        <v>0.504</v>
      </c>
      <c r="AL178">
        <v>-0.50367183990881603</v>
      </c>
      <c r="AM178">
        <v>1.16682817036514</v>
      </c>
    </row>
    <row r="179" spans="31:39">
      <c r="AH179" t="s">
        <v>1</v>
      </c>
      <c r="AI179">
        <v>0.47831342048992598</v>
      </c>
      <c r="AJ179">
        <v>0.27635204906508198</v>
      </c>
      <c r="AK179" s="57">
        <v>0.309</v>
      </c>
      <c r="AL179">
        <v>-0.36964657882217899</v>
      </c>
      <c r="AM179">
        <v>1.32627341980183</v>
      </c>
    </row>
    <row r="180" spans="31:39">
      <c r="AG180" t="s">
        <v>2</v>
      </c>
      <c r="AH180" t="s">
        <v>3</v>
      </c>
      <c r="AI180">
        <v>-0.331578165228263</v>
      </c>
      <c r="AJ180">
        <v>0.24524243813331401</v>
      </c>
      <c r="AK180" s="57">
        <v>0.504</v>
      </c>
      <c r="AL180">
        <v>-1.16682817036514</v>
      </c>
      <c r="AM180">
        <v>0.50367183990881603</v>
      </c>
    </row>
    <row r="181" spans="31:39">
      <c r="AH181" t="s">
        <v>1</v>
      </c>
      <c r="AI181">
        <v>0.14673525526176301</v>
      </c>
      <c r="AJ181">
        <v>0.17166580908204801</v>
      </c>
      <c r="AK181" s="57">
        <v>0.78</v>
      </c>
      <c r="AL181">
        <v>-0.39750165566665902</v>
      </c>
      <c r="AM181">
        <v>0.69097216618998503</v>
      </c>
    </row>
    <row r="182" spans="31:39">
      <c r="AG182" t="s">
        <v>1</v>
      </c>
      <c r="AH182" t="s">
        <v>3</v>
      </c>
      <c r="AI182">
        <v>-0.47831342048992598</v>
      </c>
      <c r="AJ182">
        <v>0.27635204906508198</v>
      </c>
      <c r="AK182" s="57">
        <v>0.309</v>
      </c>
      <c r="AL182">
        <v>-1.32627341980183</v>
      </c>
      <c r="AM182">
        <v>0.36964657882217899</v>
      </c>
    </row>
    <row r="183" spans="31:39">
      <c r="AH183" t="s">
        <v>2</v>
      </c>
      <c r="AI183">
        <v>-0.14673525526176301</v>
      </c>
      <c r="AJ183">
        <v>0.17166580908204801</v>
      </c>
      <c r="AK183" s="57">
        <v>0.78</v>
      </c>
      <c r="AL183">
        <v>-0.69097216618998503</v>
      </c>
      <c r="AM183">
        <v>0.39750165566665902</v>
      </c>
    </row>
    <row r="184" spans="31:39">
      <c r="AE184" t="s">
        <v>115</v>
      </c>
      <c r="AF184" t="s">
        <v>182</v>
      </c>
      <c r="AG184" t="s">
        <v>3</v>
      </c>
      <c r="AH184" t="s">
        <v>2</v>
      </c>
      <c r="AI184">
        <v>0.17855110381411499</v>
      </c>
      <c r="AJ184">
        <v>0.216547819825573</v>
      </c>
      <c r="AK184" s="57">
        <v>0.69599999999999995</v>
      </c>
      <c r="AL184">
        <v>-0.39916895517345002</v>
      </c>
      <c r="AM184">
        <v>0.75627116280147999</v>
      </c>
    </row>
    <row r="185" spans="31:39">
      <c r="AH185" t="s">
        <v>1</v>
      </c>
      <c r="AI185">
        <v>0.33259225093601402</v>
      </c>
      <c r="AJ185">
        <v>0.216547819825573</v>
      </c>
      <c r="AK185" s="57">
        <v>0.31</v>
      </c>
      <c r="AL185">
        <v>-0.24512780805155099</v>
      </c>
      <c r="AM185">
        <v>0.91031230992337897</v>
      </c>
    </row>
    <row r="186" spans="31:39">
      <c r="AG186" t="s">
        <v>2</v>
      </c>
      <c r="AH186" t="s">
        <v>3</v>
      </c>
      <c r="AI186">
        <v>-0.17855110381411499</v>
      </c>
      <c r="AJ186">
        <v>0.216547819825573</v>
      </c>
      <c r="AK186" s="57">
        <v>0.69599999999999995</v>
      </c>
      <c r="AL186">
        <v>-0.75627116280147999</v>
      </c>
      <c r="AM186">
        <v>0.39916895517345002</v>
      </c>
    </row>
    <row r="187" spans="31:39">
      <c r="AH187" t="s">
        <v>1</v>
      </c>
      <c r="AI187">
        <v>0.15404114712199901</v>
      </c>
      <c r="AJ187">
        <v>0.216547819825573</v>
      </c>
      <c r="AK187" s="57">
        <v>0.76200000000000001</v>
      </c>
      <c r="AL187">
        <v>-0.423678911865566</v>
      </c>
      <c r="AM187">
        <v>0.73176120610936402</v>
      </c>
    </row>
    <row r="188" spans="31:39">
      <c r="AG188" t="s">
        <v>1</v>
      </c>
      <c r="AH188" t="s">
        <v>3</v>
      </c>
      <c r="AI188">
        <v>-0.33259225093601402</v>
      </c>
      <c r="AJ188">
        <v>0.216547819825573</v>
      </c>
      <c r="AK188" s="57">
        <v>0.31</v>
      </c>
      <c r="AL188">
        <v>-0.91031230992337897</v>
      </c>
      <c r="AM188">
        <v>0.24512780805155099</v>
      </c>
    </row>
    <row r="189" spans="31:39">
      <c r="AH189" t="s">
        <v>2</v>
      </c>
      <c r="AI189">
        <v>-0.15404114712199901</v>
      </c>
      <c r="AJ189">
        <v>0.216547819825573</v>
      </c>
      <c r="AK189" s="57">
        <v>0.76200000000000001</v>
      </c>
      <c r="AL189">
        <v>-0.73176120610936402</v>
      </c>
      <c r="AM189">
        <v>0.423678911865566</v>
      </c>
    </row>
    <row r="190" spans="31:39">
      <c r="AF190" t="s">
        <v>183</v>
      </c>
      <c r="AG190" t="s">
        <v>3</v>
      </c>
      <c r="AH190" t="s">
        <v>2</v>
      </c>
      <c r="AI190">
        <v>0.17855110381411499</v>
      </c>
      <c r="AJ190">
        <v>0.183077263721558</v>
      </c>
      <c r="AK190" s="57">
        <v>0.73499999999999999</v>
      </c>
      <c r="AL190">
        <v>-0.37152633564528198</v>
      </c>
      <c r="AM190">
        <v>0.72862854327331195</v>
      </c>
    </row>
    <row r="191" spans="31:39">
      <c r="AH191" t="s">
        <v>1</v>
      </c>
      <c r="AI191">
        <v>0.33259225093601402</v>
      </c>
      <c r="AJ191">
        <v>0.231293532777431</v>
      </c>
      <c r="AK191" s="57">
        <v>0.47599999999999998</v>
      </c>
      <c r="AL191">
        <v>-0.38779221848574502</v>
      </c>
      <c r="AM191">
        <v>1.05297672035757</v>
      </c>
    </row>
    <row r="192" spans="31:39">
      <c r="AG192" t="s">
        <v>2</v>
      </c>
      <c r="AH192" t="s">
        <v>3</v>
      </c>
      <c r="AI192">
        <v>-0.17855110381411499</v>
      </c>
      <c r="AJ192">
        <v>0.183077263721558</v>
      </c>
      <c r="AK192" s="57">
        <v>0.73499999999999999</v>
      </c>
      <c r="AL192">
        <v>-0.72862854327331195</v>
      </c>
      <c r="AM192">
        <v>0.37152633564528198</v>
      </c>
    </row>
    <row r="193" spans="31:39">
      <c r="AH193" t="s">
        <v>1</v>
      </c>
      <c r="AI193">
        <v>0.15404114712199901</v>
      </c>
      <c r="AJ193">
        <v>0.231656841075735</v>
      </c>
      <c r="AK193" s="57">
        <v>0.89400000000000002</v>
      </c>
      <c r="AL193">
        <v>-0.56687743861861695</v>
      </c>
      <c r="AM193">
        <v>0.87495973286241502</v>
      </c>
    </row>
    <row r="194" spans="31:39">
      <c r="AG194" t="s">
        <v>1</v>
      </c>
      <c r="AH194" t="s">
        <v>3</v>
      </c>
      <c r="AI194">
        <v>-0.33259225093601402</v>
      </c>
      <c r="AJ194">
        <v>0.231293532777431</v>
      </c>
      <c r="AK194" s="57">
        <v>0.47599999999999998</v>
      </c>
      <c r="AL194">
        <v>-1.05297672035757</v>
      </c>
      <c r="AM194">
        <v>0.38779221848574502</v>
      </c>
    </row>
    <row r="195" spans="31:39">
      <c r="AH195" t="s">
        <v>2</v>
      </c>
      <c r="AI195">
        <v>-0.15404114712199901</v>
      </c>
      <c r="AJ195">
        <v>0.231656841075735</v>
      </c>
      <c r="AK195" s="57">
        <v>0.89400000000000002</v>
      </c>
      <c r="AL195">
        <v>-0.87495973286241502</v>
      </c>
      <c r="AM195">
        <v>0.56687743861861695</v>
      </c>
    </row>
    <row r="196" spans="31:39">
      <c r="AF196" t="s">
        <v>184</v>
      </c>
      <c r="AG196" t="s">
        <v>3</v>
      </c>
      <c r="AH196" t="s">
        <v>2</v>
      </c>
      <c r="AI196">
        <v>0.17855110381411499</v>
      </c>
      <c r="AJ196">
        <v>0.183077263721558</v>
      </c>
      <c r="AK196" s="57">
        <v>0.70799999999999996</v>
      </c>
      <c r="AL196">
        <v>-0.36299616297701398</v>
      </c>
      <c r="AM196">
        <v>0.720098370605044</v>
      </c>
    </row>
    <row r="197" spans="31:39">
      <c r="AH197" t="s">
        <v>1</v>
      </c>
      <c r="AI197">
        <v>0.33259225093601402</v>
      </c>
      <c r="AJ197">
        <v>0.231293532777431</v>
      </c>
      <c r="AK197" s="57">
        <v>0.443</v>
      </c>
      <c r="AL197">
        <v>-0.373954489400596</v>
      </c>
      <c r="AM197">
        <v>1.03913899127242</v>
      </c>
    </row>
    <row r="198" spans="31:39">
      <c r="AG198" t="s">
        <v>2</v>
      </c>
      <c r="AH198" t="s">
        <v>3</v>
      </c>
      <c r="AI198">
        <v>-0.17855110381411499</v>
      </c>
      <c r="AJ198">
        <v>0.183077263721558</v>
      </c>
      <c r="AK198" s="57">
        <v>0.70799999999999996</v>
      </c>
      <c r="AL198">
        <v>-0.720098370605044</v>
      </c>
      <c r="AM198">
        <v>0.36299616297701398</v>
      </c>
    </row>
    <row r="199" spans="31:39">
      <c r="AH199" t="s">
        <v>1</v>
      </c>
      <c r="AI199">
        <v>0.15404114712199901</v>
      </c>
      <c r="AJ199">
        <v>0.231656841075735</v>
      </c>
      <c r="AK199" s="57">
        <v>0.877</v>
      </c>
      <c r="AL199">
        <v>-0.55309336185692604</v>
      </c>
      <c r="AM199">
        <v>0.861175656100724</v>
      </c>
    </row>
    <row r="200" spans="31:39">
      <c r="AG200" t="s">
        <v>1</v>
      </c>
      <c r="AH200" t="s">
        <v>3</v>
      </c>
      <c r="AI200">
        <v>-0.33259225093601402</v>
      </c>
      <c r="AJ200">
        <v>0.231293532777431</v>
      </c>
      <c r="AK200" s="57">
        <v>0.443</v>
      </c>
      <c r="AL200">
        <v>-1.03913899127242</v>
      </c>
      <c r="AM200">
        <v>0.373954489400596</v>
      </c>
    </row>
    <row r="201" spans="31:39">
      <c r="AH201" t="s">
        <v>2</v>
      </c>
      <c r="AI201">
        <v>-0.15404114712199901</v>
      </c>
      <c r="AJ201">
        <v>0.231656841075735</v>
      </c>
      <c r="AK201" s="57">
        <v>0.877</v>
      </c>
      <c r="AL201">
        <v>-0.861175656100724</v>
      </c>
      <c r="AM201">
        <v>0.55309336185692604</v>
      </c>
    </row>
    <row r="202" spans="31:39">
      <c r="AE202" t="s">
        <v>116</v>
      </c>
      <c r="AF202" t="s">
        <v>182</v>
      </c>
      <c r="AG202" t="s">
        <v>3</v>
      </c>
      <c r="AH202" t="s">
        <v>2</v>
      </c>
      <c r="AI202">
        <v>1.7343337196933899</v>
      </c>
      <c r="AJ202">
        <v>0.74028359788716702</v>
      </c>
      <c r="AK202" s="57">
        <v>8.7999999999999995E-2</v>
      </c>
      <c r="AL202">
        <v>-0.24064198859785099</v>
      </c>
      <c r="AM202">
        <v>3.7093094279844299</v>
      </c>
    </row>
    <row r="203" spans="31:39">
      <c r="AH203" t="s">
        <v>1</v>
      </c>
      <c r="AI203">
        <v>0.461811341447325</v>
      </c>
      <c r="AJ203">
        <v>0.74028359788716702</v>
      </c>
      <c r="AK203" s="57">
        <v>0.81</v>
      </c>
      <c r="AL203">
        <v>-1.5131643668439101</v>
      </c>
      <c r="AM203">
        <v>2.4367870497383599</v>
      </c>
    </row>
    <row r="204" spans="31:39">
      <c r="AG204" t="s">
        <v>2</v>
      </c>
      <c r="AH204" t="s">
        <v>3</v>
      </c>
      <c r="AI204">
        <v>-1.7343337196933899</v>
      </c>
      <c r="AJ204">
        <v>0.74028359788716702</v>
      </c>
      <c r="AK204" s="57">
        <v>8.7999999999999995E-2</v>
      </c>
      <c r="AL204">
        <v>-3.7093094279844299</v>
      </c>
      <c r="AM204">
        <v>0.24064198859785099</v>
      </c>
    </row>
    <row r="205" spans="31:39">
      <c r="AH205" t="s">
        <v>1</v>
      </c>
      <c r="AI205">
        <v>-1.2725223782461601</v>
      </c>
      <c r="AJ205">
        <v>0.74028359788716702</v>
      </c>
      <c r="AK205" s="57">
        <v>0.23799999999999999</v>
      </c>
      <c r="AL205">
        <v>-3.2474980865372101</v>
      </c>
      <c r="AM205">
        <v>0.70245333004507604</v>
      </c>
    </row>
    <row r="206" spans="31:39">
      <c r="AG206" t="s">
        <v>1</v>
      </c>
      <c r="AH206" t="s">
        <v>3</v>
      </c>
      <c r="AI206">
        <v>-0.461811341447325</v>
      </c>
      <c r="AJ206">
        <v>0.74028359788716702</v>
      </c>
      <c r="AK206" s="57">
        <v>0.81</v>
      </c>
      <c r="AL206">
        <v>-2.4367870497383599</v>
      </c>
      <c r="AM206">
        <v>1.5131643668439101</v>
      </c>
    </row>
    <row r="207" spans="31:39">
      <c r="AH207" t="s">
        <v>2</v>
      </c>
      <c r="AI207">
        <v>1.2725223782461601</v>
      </c>
      <c r="AJ207">
        <v>0.74028359788716702</v>
      </c>
      <c r="AK207" s="57">
        <v>0.23799999999999999</v>
      </c>
      <c r="AL207">
        <v>-0.70245333004507604</v>
      </c>
      <c r="AM207">
        <v>3.2474980865372101</v>
      </c>
    </row>
    <row r="208" spans="31:39">
      <c r="AF208" t="s">
        <v>183</v>
      </c>
      <c r="AG208" t="s">
        <v>3</v>
      </c>
      <c r="AH208" t="s">
        <v>2</v>
      </c>
      <c r="AI208">
        <v>1.7343337196933899</v>
      </c>
      <c r="AJ208">
        <v>0.87484989914086897</v>
      </c>
      <c r="AK208" s="57">
        <v>0.246</v>
      </c>
      <c r="AL208">
        <v>-1.03068927785204</v>
      </c>
      <c r="AM208">
        <v>4.4993567172386202</v>
      </c>
    </row>
    <row r="209" spans="31:39">
      <c r="AH209" t="s">
        <v>1</v>
      </c>
      <c r="AI209">
        <v>0.461811341447325</v>
      </c>
      <c r="AJ209">
        <v>0.78098727048905503</v>
      </c>
      <c r="AK209" s="57">
        <v>0.92600000000000005</v>
      </c>
      <c r="AL209">
        <v>-2.33405425131774</v>
      </c>
      <c r="AM209">
        <v>3.2576769342121898</v>
      </c>
    </row>
    <row r="210" spans="31:39">
      <c r="AG210" t="s">
        <v>2</v>
      </c>
      <c r="AH210" t="s">
        <v>3</v>
      </c>
      <c r="AI210">
        <v>-1.7343337196933899</v>
      </c>
      <c r="AJ210">
        <v>0.87484989914086897</v>
      </c>
      <c r="AK210" s="57">
        <v>0.246</v>
      </c>
      <c r="AL210">
        <v>-4.4993567172386202</v>
      </c>
      <c r="AM210">
        <v>1.03068927785204</v>
      </c>
    </row>
    <row r="211" spans="31:39">
      <c r="AH211" t="s">
        <v>1</v>
      </c>
      <c r="AI211">
        <v>-1.2725223782461601</v>
      </c>
      <c r="AJ211">
        <v>0.51841677558655697</v>
      </c>
      <c r="AK211" s="57">
        <v>0.14099999999999999</v>
      </c>
      <c r="AL211">
        <v>-2.97023246949471</v>
      </c>
      <c r="AM211">
        <v>0.42518771300258001</v>
      </c>
    </row>
    <row r="212" spans="31:39">
      <c r="AG212" t="s">
        <v>1</v>
      </c>
      <c r="AH212" t="s">
        <v>3</v>
      </c>
      <c r="AI212">
        <v>-0.461811341447325</v>
      </c>
      <c r="AJ212">
        <v>0.78098727048905503</v>
      </c>
      <c r="AK212" s="57">
        <v>0.92600000000000005</v>
      </c>
      <c r="AL212">
        <v>-3.2576769342121898</v>
      </c>
      <c r="AM212">
        <v>2.33405425131774</v>
      </c>
    </row>
    <row r="213" spans="31:39">
      <c r="AH213" t="s">
        <v>2</v>
      </c>
      <c r="AI213">
        <v>1.2725223782461601</v>
      </c>
      <c r="AJ213">
        <v>0.51841677558655697</v>
      </c>
      <c r="AK213" s="57">
        <v>0.14099999999999999</v>
      </c>
      <c r="AL213">
        <v>-0.42518771300258001</v>
      </c>
      <c r="AM213">
        <v>2.97023246949471</v>
      </c>
    </row>
    <row r="214" spans="31:39">
      <c r="AF214" t="s">
        <v>184</v>
      </c>
      <c r="AG214" t="s">
        <v>3</v>
      </c>
      <c r="AH214" t="s">
        <v>2</v>
      </c>
      <c r="AI214">
        <v>1.7343337196933899</v>
      </c>
      <c r="AJ214">
        <v>0.87484989914086897</v>
      </c>
      <c r="AK214" s="57">
        <v>0.22500000000000001</v>
      </c>
      <c r="AL214">
        <v>-0.97317003525472001</v>
      </c>
      <c r="AM214">
        <v>4.4418374746413001</v>
      </c>
    </row>
    <row r="215" spans="31:39">
      <c r="AH215" t="s">
        <v>1</v>
      </c>
      <c r="AI215">
        <v>0.461811341447325</v>
      </c>
      <c r="AJ215">
        <v>0.78098727048905503</v>
      </c>
      <c r="AK215" s="57">
        <v>0.90700000000000003</v>
      </c>
      <c r="AL215">
        <v>-2.2330875292949699</v>
      </c>
      <c r="AM215">
        <v>3.1567102121894202</v>
      </c>
    </row>
    <row r="216" spans="31:39">
      <c r="AG216" t="s">
        <v>2</v>
      </c>
      <c r="AH216" t="s">
        <v>3</v>
      </c>
      <c r="AI216">
        <v>-1.7343337196933899</v>
      </c>
      <c r="AJ216">
        <v>0.87484989914086897</v>
      </c>
      <c r="AK216" s="57">
        <v>0.22500000000000001</v>
      </c>
      <c r="AL216">
        <v>-4.4418374746413001</v>
      </c>
      <c r="AM216">
        <v>0.97317003525472001</v>
      </c>
    </row>
    <row r="217" spans="31:39">
      <c r="AH217" t="s">
        <v>1</v>
      </c>
      <c r="AI217">
        <v>-1.2725223782461601</v>
      </c>
      <c r="AJ217">
        <v>0.51841677558655697</v>
      </c>
      <c r="AK217" s="57">
        <v>0.127</v>
      </c>
      <c r="AL217">
        <v>-2.9280350881842101</v>
      </c>
      <c r="AM217">
        <v>0.38299033169208002</v>
      </c>
    </row>
    <row r="218" spans="31:39">
      <c r="AG218" t="s">
        <v>1</v>
      </c>
      <c r="AH218" t="s">
        <v>3</v>
      </c>
      <c r="AI218">
        <v>-0.461811341447325</v>
      </c>
      <c r="AJ218">
        <v>0.78098727048905503</v>
      </c>
      <c r="AK218" s="57">
        <v>0.90700000000000003</v>
      </c>
      <c r="AL218">
        <v>-3.1567102121894202</v>
      </c>
      <c r="AM218">
        <v>2.2330875292949699</v>
      </c>
    </row>
    <row r="219" spans="31:39">
      <c r="AH219" t="s">
        <v>2</v>
      </c>
      <c r="AI219">
        <v>1.2725223782461601</v>
      </c>
      <c r="AJ219">
        <v>0.51841677558655697</v>
      </c>
      <c r="AK219" s="57">
        <v>0.127</v>
      </c>
      <c r="AL219">
        <v>-0.38299033169208002</v>
      </c>
      <c r="AM219">
        <v>2.9280350881842101</v>
      </c>
    </row>
    <row r="220" spans="31:39">
      <c r="AE220" t="s">
        <v>117</v>
      </c>
      <c r="AF220" t="s">
        <v>182</v>
      </c>
      <c r="AG220" t="s">
        <v>3</v>
      </c>
      <c r="AH220" t="s">
        <v>2</v>
      </c>
      <c r="AI220">
        <v>-2.7251560201051599</v>
      </c>
      <c r="AJ220">
        <v>3.35444953903882</v>
      </c>
      <c r="AK220" s="57">
        <v>0.70299999999999996</v>
      </c>
      <c r="AL220">
        <v>-11.6743700418647</v>
      </c>
      <c r="AM220">
        <v>6.2240580016546199</v>
      </c>
    </row>
    <row r="221" spans="31:39">
      <c r="AH221" t="s">
        <v>1</v>
      </c>
      <c r="AI221">
        <v>-4.0013112204768797</v>
      </c>
      <c r="AJ221">
        <v>3.35444953903882</v>
      </c>
      <c r="AK221" s="57">
        <v>0.47899999999999998</v>
      </c>
      <c r="AL221">
        <v>-12.950525242236401</v>
      </c>
      <c r="AM221">
        <v>4.9479028012828996</v>
      </c>
    </row>
    <row r="222" spans="31:39">
      <c r="AG222" t="s">
        <v>2</v>
      </c>
      <c r="AH222" t="s">
        <v>3</v>
      </c>
      <c r="AI222">
        <v>2.7251560201051599</v>
      </c>
      <c r="AJ222">
        <v>3.35444953903882</v>
      </c>
      <c r="AK222" s="57">
        <v>0.70299999999999996</v>
      </c>
      <c r="AL222">
        <v>-6.2240580016546199</v>
      </c>
      <c r="AM222">
        <v>11.6743700418647</v>
      </c>
    </row>
    <row r="223" spans="31:39">
      <c r="AH223" t="s">
        <v>1</v>
      </c>
      <c r="AI223">
        <v>-1.27615520037181</v>
      </c>
      <c r="AJ223">
        <v>3.35444953903882</v>
      </c>
      <c r="AK223" s="57">
        <v>0.92400000000000004</v>
      </c>
      <c r="AL223">
        <v>-10.2253692221314</v>
      </c>
      <c r="AM223">
        <v>7.6730588213879596</v>
      </c>
    </row>
    <row r="224" spans="31:39">
      <c r="AG224" t="s">
        <v>1</v>
      </c>
      <c r="AH224" t="s">
        <v>3</v>
      </c>
      <c r="AI224">
        <v>4.0013112204768797</v>
      </c>
      <c r="AJ224">
        <v>3.35444953903882</v>
      </c>
      <c r="AK224" s="57">
        <v>0.47899999999999998</v>
      </c>
      <c r="AL224">
        <v>-4.9479028012828996</v>
      </c>
      <c r="AM224">
        <v>12.950525242236401</v>
      </c>
    </row>
    <row r="225" spans="31:39">
      <c r="AH225" t="s">
        <v>2</v>
      </c>
      <c r="AI225">
        <v>1.27615520037181</v>
      </c>
      <c r="AJ225">
        <v>3.35444953903882</v>
      </c>
      <c r="AK225" s="57">
        <v>0.92400000000000004</v>
      </c>
      <c r="AL225">
        <v>-7.6730588213879596</v>
      </c>
      <c r="AM225">
        <v>10.2253692221314</v>
      </c>
    </row>
    <row r="226" spans="31:39">
      <c r="AF226" t="s">
        <v>183</v>
      </c>
      <c r="AG226" t="s">
        <v>3</v>
      </c>
      <c r="AH226" t="s">
        <v>2</v>
      </c>
      <c r="AI226">
        <v>-2.7251560201051599</v>
      </c>
      <c r="AJ226">
        <v>3.1065651852971898</v>
      </c>
      <c r="AK226" s="57">
        <v>0.79700000000000004</v>
      </c>
      <c r="AL226">
        <v>-12.7157019019947</v>
      </c>
      <c r="AM226">
        <v>7.2653898617846204</v>
      </c>
    </row>
    <row r="227" spans="31:39">
      <c r="AH227" t="s">
        <v>1</v>
      </c>
      <c r="AI227">
        <v>-4.0013112204768797</v>
      </c>
      <c r="AJ227">
        <v>3.81305410918094</v>
      </c>
      <c r="AK227" s="57">
        <v>0.69199999999999995</v>
      </c>
      <c r="AL227">
        <v>-15.4581096006068</v>
      </c>
      <c r="AM227">
        <v>7.4554871596532397</v>
      </c>
    </row>
    <row r="228" spans="31:39">
      <c r="AG228" t="s">
        <v>2</v>
      </c>
      <c r="AH228" t="s">
        <v>3</v>
      </c>
      <c r="AI228">
        <v>2.7251560201051599</v>
      </c>
      <c r="AJ228">
        <v>3.1065651852971898</v>
      </c>
      <c r="AK228" s="57">
        <v>0.79700000000000004</v>
      </c>
      <c r="AL228">
        <v>-7.2653898617846204</v>
      </c>
      <c r="AM228">
        <v>12.7157019019947</v>
      </c>
    </row>
    <row r="229" spans="31:39">
      <c r="AH229" t="s">
        <v>1</v>
      </c>
      <c r="AI229">
        <v>-1.27615520037181</v>
      </c>
      <c r="AJ229">
        <v>3.0930351177817301</v>
      </c>
      <c r="AK229" s="57">
        <v>0.97099999999999997</v>
      </c>
      <c r="AL229">
        <v>-11.2118504165316</v>
      </c>
      <c r="AM229">
        <v>8.6595400157882203</v>
      </c>
    </row>
    <row r="230" spans="31:39">
      <c r="AG230" t="s">
        <v>1</v>
      </c>
      <c r="AH230" t="s">
        <v>3</v>
      </c>
      <c r="AI230">
        <v>4.0013112204768797</v>
      </c>
      <c r="AJ230">
        <v>3.81305410918094</v>
      </c>
      <c r="AK230" s="57">
        <v>0.69199999999999995</v>
      </c>
      <c r="AL230">
        <v>-7.4554871596532397</v>
      </c>
      <c r="AM230">
        <v>15.4581096006068</v>
      </c>
    </row>
    <row r="231" spans="31:39">
      <c r="AH231" t="s">
        <v>2</v>
      </c>
      <c r="AI231">
        <v>1.27615520037181</v>
      </c>
      <c r="AJ231">
        <v>3.0930351177817301</v>
      </c>
      <c r="AK231" s="57">
        <v>0.97099999999999997</v>
      </c>
      <c r="AL231">
        <v>-8.6595400157882203</v>
      </c>
      <c r="AM231">
        <v>11.2118504165316</v>
      </c>
    </row>
    <row r="232" spans="31:39">
      <c r="AF232" t="s">
        <v>184</v>
      </c>
      <c r="AG232" t="s">
        <v>3</v>
      </c>
      <c r="AH232" t="s">
        <v>2</v>
      </c>
      <c r="AI232">
        <v>-2.7251560201051599</v>
      </c>
      <c r="AJ232">
        <v>3.1065651852971898</v>
      </c>
      <c r="AK232" s="57">
        <v>0.76700000000000002</v>
      </c>
      <c r="AL232">
        <v>-12.488396410567301</v>
      </c>
      <c r="AM232">
        <v>7.03808437035726</v>
      </c>
    </row>
    <row r="233" spans="31:39">
      <c r="AH233" t="s">
        <v>1</v>
      </c>
      <c r="AI233">
        <v>-4.0013112204768797</v>
      </c>
      <c r="AJ233">
        <v>3.81305410918094</v>
      </c>
      <c r="AK233" s="57">
        <v>0.66300000000000003</v>
      </c>
      <c r="AL233">
        <v>-15.280444194766799</v>
      </c>
      <c r="AM233">
        <v>7.2778217538132797</v>
      </c>
    </row>
    <row r="234" spans="31:39">
      <c r="AG234" t="s">
        <v>2</v>
      </c>
      <c r="AH234" t="s">
        <v>3</v>
      </c>
      <c r="AI234">
        <v>2.7251560201051599</v>
      </c>
      <c r="AJ234">
        <v>3.1065651852971898</v>
      </c>
      <c r="AK234" s="57">
        <v>0.76700000000000002</v>
      </c>
      <c r="AL234">
        <v>-7.03808437035726</v>
      </c>
      <c r="AM234">
        <v>12.488396410567301</v>
      </c>
    </row>
    <row r="235" spans="31:39">
      <c r="AH235" t="s">
        <v>1</v>
      </c>
      <c r="AI235">
        <v>-1.27615520037181</v>
      </c>
      <c r="AJ235">
        <v>3.0930351177817301</v>
      </c>
      <c r="AK235" s="57">
        <v>0.96499999999999997</v>
      </c>
      <c r="AL235">
        <v>-10.987084509701599</v>
      </c>
      <c r="AM235">
        <v>8.4347741089582495</v>
      </c>
    </row>
    <row r="236" spans="31:39">
      <c r="AG236" t="s">
        <v>1</v>
      </c>
      <c r="AH236" t="s">
        <v>3</v>
      </c>
      <c r="AI236">
        <v>4.0013112204768797</v>
      </c>
      <c r="AJ236">
        <v>3.81305410918094</v>
      </c>
      <c r="AK236" s="57">
        <v>0.66300000000000003</v>
      </c>
      <c r="AL236">
        <v>-7.2778217538132797</v>
      </c>
      <c r="AM236">
        <v>15.280444194766799</v>
      </c>
    </row>
    <row r="237" spans="31:39">
      <c r="AH237" t="s">
        <v>2</v>
      </c>
      <c r="AI237">
        <v>1.27615520037181</v>
      </c>
      <c r="AJ237">
        <v>3.0930351177817301</v>
      </c>
      <c r="AK237" s="57">
        <v>0.96499999999999997</v>
      </c>
      <c r="AL237">
        <v>-8.4347741089582495</v>
      </c>
      <c r="AM237">
        <v>10.987084509701599</v>
      </c>
    </row>
    <row r="238" spans="31:39">
      <c r="AE238" t="s">
        <v>118</v>
      </c>
      <c r="AF238" t="s">
        <v>182</v>
      </c>
      <c r="AG238" t="s">
        <v>3</v>
      </c>
      <c r="AH238" t="s">
        <v>2</v>
      </c>
      <c r="AI238">
        <v>5.6670883118422E-2</v>
      </c>
      <c r="AJ238">
        <v>0.28739676812124698</v>
      </c>
      <c r="AK238" s="57">
        <v>0.97899999999999998</v>
      </c>
      <c r="AL238">
        <v>-0.71006451031840001</v>
      </c>
      <c r="AM238">
        <v>0.82340627655504395</v>
      </c>
    </row>
    <row r="239" spans="31:39">
      <c r="AH239" t="s">
        <v>1</v>
      </c>
      <c r="AI239">
        <v>-0.38973482709957402</v>
      </c>
      <c r="AJ239">
        <v>0.28739676812124698</v>
      </c>
      <c r="AK239" s="57">
        <v>0.39300000000000002</v>
      </c>
      <c r="AL239">
        <v>-1.1564702205361901</v>
      </c>
      <c r="AM239">
        <v>0.37700056633724799</v>
      </c>
    </row>
    <row r="240" spans="31:39">
      <c r="AG240" t="s">
        <v>2</v>
      </c>
      <c r="AH240" t="s">
        <v>3</v>
      </c>
      <c r="AI240">
        <v>-5.6670883118422E-2</v>
      </c>
      <c r="AJ240">
        <v>0.28739676812124698</v>
      </c>
      <c r="AK240" s="57">
        <v>0.97899999999999998</v>
      </c>
      <c r="AL240">
        <v>-0.82340627655504395</v>
      </c>
      <c r="AM240">
        <v>0.71006451031840001</v>
      </c>
    </row>
    <row r="241" spans="31:39">
      <c r="AH241" t="s">
        <v>1</v>
      </c>
      <c r="AI241">
        <v>-0.44640571021789599</v>
      </c>
      <c r="AJ241">
        <v>0.28739676812124698</v>
      </c>
      <c r="AK241" s="57">
        <v>0.30199999999999999</v>
      </c>
      <c r="AL241">
        <v>-1.2131411036545099</v>
      </c>
      <c r="AM241">
        <v>0.32032968321892602</v>
      </c>
    </row>
    <row r="242" spans="31:39">
      <c r="AG242" t="s">
        <v>1</v>
      </c>
      <c r="AH242" t="s">
        <v>3</v>
      </c>
      <c r="AI242">
        <v>0.38973482709957402</v>
      </c>
      <c r="AJ242">
        <v>0.28739676812124698</v>
      </c>
      <c r="AK242" s="57">
        <v>0.39300000000000002</v>
      </c>
      <c r="AL242">
        <v>-0.37700056633724799</v>
      </c>
      <c r="AM242">
        <v>1.1564702205361901</v>
      </c>
    </row>
    <row r="243" spans="31:39">
      <c r="AH243" t="s">
        <v>2</v>
      </c>
      <c r="AI243">
        <v>0.44640571021789599</v>
      </c>
      <c r="AJ243">
        <v>0.28739676812124698</v>
      </c>
      <c r="AK243" s="57">
        <v>0.30199999999999999</v>
      </c>
      <c r="AL243">
        <v>-0.32032968321892602</v>
      </c>
      <c r="AM243">
        <v>1.2131411036545099</v>
      </c>
    </row>
    <row r="244" spans="31:39">
      <c r="AF244" t="s">
        <v>183</v>
      </c>
      <c r="AG244" t="s">
        <v>3</v>
      </c>
      <c r="AH244" t="s">
        <v>2</v>
      </c>
      <c r="AI244">
        <v>5.6670883118422E-2</v>
      </c>
      <c r="AJ244">
        <v>0.327470225922182</v>
      </c>
      <c r="AK244" s="57">
        <v>0.998</v>
      </c>
      <c r="AL244">
        <v>-0.93270998570196795</v>
      </c>
      <c r="AM244">
        <v>1.0460517519386101</v>
      </c>
    </row>
    <row r="245" spans="31:39">
      <c r="AH245" t="s">
        <v>1</v>
      </c>
      <c r="AI245">
        <v>-0.38973482709957402</v>
      </c>
      <c r="AJ245">
        <v>0.27971683135724001</v>
      </c>
      <c r="AK245" s="57">
        <v>0.51200000000000001</v>
      </c>
      <c r="AL245">
        <v>-1.3046007613613799</v>
      </c>
      <c r="AM245">
        <v>0.52513110716244005</v>
      </c>
    </row>
    <row r="246" spans="31:39">
      <c r="AG246" t="s">
        <v>2</v>
      </c>
      <c r="AH246" t="s">
        <v>3</v>
      </c>
      <c r="AI246">
        <v>-5.6670883118422E-2</v>
      </c>
      <c r="AJ246">
        <v>0.327470225922182</v>
      </c>
      <c r="AK246" s="57">
        <v>0.998</v>
      </c>
      <c r="AL246">
        <v>-1.0460517519386101</v>
      </c>
      <c r="AM246">
        <v>0.93270998570196795</v>
      </c>
    </row>
    <row r="247" spans="31:39">
      <c r="AH247" t="s">
        <v>1</v>
      </c>
      <c r="AI247">
        <v>-0.44640571021789599</v>
      </c>
      <c r="AJ247">
        <v>0.249624622923205</v>
      </c>
      <c r="AK247" s="57">
        <v>0.318</v>
      </c>
      <c r="AL247">
        <v>-1.2390096923624601</v>
      </c>
      <c r="AM247">
        <v>0.34619827192687003</v>
      </c>
    </row>
    <row r="248" spans="31:39">
      <c r="AG248" t="s">
        <v>1</v>
      </c>
      <c r="AH248" t="s">
        <v>3</v>
      </c>
      <c r="AI248">
        <v>0.38973482709957402</v>
      </c>
      <c r="AJ248">
        <v>0.27971683135724001</v>
      </c>
      <c r="AK248" s="57">
        <v>0.51200000000000001</v>
      </c>
      <c r="AL248">
        <v>-0.52513110716244005</v>
      </c>
      <c r="AM248">
        <v>1.3046007613613799</v>
      </c>
    </row>
    <row r="249" spans="31:39">
      <c r="AH249" t="s">
        <v>2</v>
      </c>
      <c r="AI249">
        <v>0.44640571021789599</v>
      </c>
      <c r="AJ249">
        <v>0.249624622923205</v>
      </c>
      <c r="AK249" s="57">
        <v>0.318</v>
      </c>
      <c r="AL249">
        <v>-0.34619827192687003</v>
      </c>
      <c r="AM249">
        <v>1.2390096923624601</v>
      </c>
    </row>
    <row r="250" spans="31:39">
      <c r="AF250" t="s">
        <v>184</v>
      </c>
      <c r="AG250" t="s">
        <v>3</v>
      </c>
      <c r="AH250" t="s">
        <v>2</v>
      </c>
      <c r="AI250">
        <v>5.6670883118422E-2</v>
      </c>
      <c r="AJ250">
        <v>0.327470225922182</v>
      </c>
      <c r="AK250" s="57">
        <v>0.997</v>
      </c>
      <c r="AL250">
        <v>-0.91682343024011403</v>
      </c>
      <c r="AM250">
        <v>1.03016519647675</v>
      </c>
    </row>
    <row r="251" spans="31:39">
      <c r="AH251" t="s">
        <v>1</v>
      </c>
      <c r="AI251">
        <v>-0.38973482709957402</v>
      </c>
      <c r="AJ251">
        <v>0.27971683135724001</v>
      </c>
      <c r="AK251" s="57">
        <v>0.47299999999999998</v>
      </c>
      <c r="AL251">
        <v>-1.28199665606137</v>
      </c>
      <c r="AM251">
        <v>0.50252700186242805</v>
      </c>
    </row>
    <row r="252" spans="31:39">
      <c r="AG252" t="s">
        <v>2</v>
      </c>
      <c r="AH252" t="s">
        <v>3</v>
      </c>
      <c r="AI252">
        <v>-5.6670883118422E-2</v>
      </c>
      <c r="AJ252">
        <v>0.327470225922182</v>
      </c>
      <c r="AK252" s="57">
        <v>0.997</v>
      </c>
      <c r="AL252">
        <v>-1.03016519647675</v>
      </c>
      <c r="AM252">
        <v>0.91682343024011403</v>
      </c>
    </row>
    <row r="253" spans="31:39">
      <c r="AH253" t="s">
        <v>1</v>
      </c>
      <c r="AI253">
        <v>-0.44640571021789599</v>
      </c>
      <c r="AJ253">
        <v>0.249624622923205</v>
      </c>
      <c r="AK253" s="57">
        <v>0.29099999999999998</v>
      </c>
      <c r="AL253">
        <v>-1.22211617982356</v>
      </c>
      <c r="AM253">
        <v>0.32930475938797499</v>
      </c>
    </row>
    <row r="254" spans="31:39">
      <c r="AG254" t="s">
        <v>1</v>
      </c>
      <c r="AH254" t="s">
        <v>3</v>
      </c>
      <c r="AI254">
        <v>0.38973482709957402</v>
      </c>
      <c r="AJ254">
        <v>0.27971683135724001</v>
      </c>
      <c r="AK254" s="57">
        <v>0.47299999999999998</v>
      </c>
      <c r="AL254">
        <v>-0.50252700186242805</v>
      </c>
      <c r="AM254">
        <v>1.28199665606137</v>
      </c>
    </row>
    <row r="255" spans="31:39">
      <c r="AH255" t="s">
        <v>2</v>
      </c>
      <c r="AI255">
        <v>0.44640571021789599</v>
      </c>
      <c r="AJ255">
        <v>0.249624622923205</v>
      </c>
      <c r="AK255" s="57">
        <v>0.29099999999999998</v>
      </c>
      <c r="AL255">
        <v>-0.32930475938797499</v>
      </c>
      <c r="AM255">
        <v>1.22211617982356</v>
      </c>
    </row>
    <row r="256" spans="31:39">
      <c r="AE256" t="s">
        <v>119</v>
      </c>
      <c r="AF256" t="s">
        <v>182</v>
      </c>
      <c r="AG256" t="s">
        <v>3</v>
      </c>
      <c r="AH256" t="s">
        <v>2</v>
      </c>
      <c r="AI256">
        <v>2.7410098636273301</v>
      </c>
      <c r="AJ256">
        <v>1.54035828786714</v>
      </c>
      <c r="AK256" s="57">
        <v>0.218</v>
      </c>
      <c r="AL256">
        <v>-1.3684560346924</v>
      </c>
      <c r="AM256">
        <v>6.8504757619468704</v>
      </c>
    </row>
    <row r="257" spans="32:39">
      <c r="AH257" t="s">
        <v>1</v>
      </c>
      <c r="AI257">
        <v>3.1500553800528399</v>
      </c>
      <c r="AJ257">
        <v>1.54035828786714</v>
      </c>
      <c r="AK257" s="57">
        <v>0.14399999999999999</v>
      </c>
      <c r="AL257">
        <v>-0.95941051826689305</v>
      </c>
      <c r="AM257">
        <v>7.2595212783723797</v>
      </c>
    </row>
    <row r="258" spans="32:39">
      <c r="AG258" t="s">
        <v>2</v>
      </c>
      <c r="AH258" t="s">
        <v>3</v>
      </c>
      <c r="AI258">
        <v>-2.7410098636273301</v>
      </c>
      <c r="AJ258">
        <v>1.54035828786714</v>
      </c>
      <c r="AK258" s="57">
        <v>0.218</v>
      </c>
      <c r="AL258">
        <v>-6.8504757619468704</v>
      </c>
      <c r="AM258">
        <v>1.3684560346924</v>
      </c>
    </row>
    <row r="259" spans="32:39">
      <c r="AH259" t="s">
        <v>1</v>
      </c>
      <c r="AI259">
        <v>0.40904551642560899</v>
      </c>
      <c r="AJ259">
        <v>1.54035828786714</v>
      </c>
      <c r="AK259" s="57">
        <v>0.96199999999999997</v>
      </c>
      <c r="AL259">
        <v>-3.7004203818941299</v>
      </c>
      <c r="AM259">
        <v>4.5185114147451504</v>
      </c>
    </row>
    <row r="260" spans="32:39">
      <c r="AG260" t="s">
        <v>1</v>
      </c>
      <c r="AH260" t="s">
        <v>3</v>
      </c>
      <c r="AI260">
        <v>-3.1500553800528399</v>
      </c>
      <c r="AJ260">
        <v>1.54035828786714</v>
      </c>
      <c r="AK260" s="57">
        <v>0.14399999999999999</v>
      </c>
      <c r="AL260">
        <v>-7.2595212783723797</v>
      </c>
      <c r="AM260">
        <v>0.95941051826689305</v>
      </c>
    </row>
    <row r="261" spans="32:39">
      <c r="AH261" t="s">
        <v>2</v>
      </c>
      <c r="AI261">
        <v>-0.40904551642560899</v>
      </c>
      <c r="AJ261">
        <v>1.54035828786714</v>
      </c>
      <c r="AK261" s="57">
        <v>0.96199999999999997</v>
      </c>
      <c r="AL261">
        <v>-4.5185114147451504</v>
      </c>
      <c r="AM261">
        <v>3.7004203818941299</v>
      </c>
    </row>
    <row r="262" spans="32:39">
      <c r="AF262" t="s">
        <v>183</v>
      </c>
      <c r="AG262" t="s">
        <v>3</v>
      </c>
      <c r="AH262" t="s">
        <v>2</v>
      </c>
      <c r="AI262">
        <v>2.7410098636273301</v>
      </c>
      <c r="AJ262">
        <v>1.4121488045877499</v>
      </c>
      <c r="AK262" s="57">
        <v>0.26900000000000002</v>
      </c>
      <c r="AL262">
        <v>-1.8455782264656799</v>
      </c>
      <c r="AM262">
        <v>7.3275979537201597</v>
      </c>
    </row>
    <row r="263" spans="32:39">
      <c r="AH263" t="s">
        <v>1</v>
      </c>
      <c r="AI263">
        <v>3.1500553800528399</v>
      </c>
      <c r="AJ263">
        <v>1.76380914907452</v>
      </c>
      <c r="AK263" s="57">
        <v>0.3</v>
      </c>
      <c r="AL263">
        <v>-2.1495340843798298</v>
      </c>
      <c r="AM263">
        <v>8.44964484448532</v>
      </c>
    </row>
    <row r="264" spans="32:39">
      <c r="AG264" t="s">
        <v>2</v>
      </c>
      <c r="AH264" t="s">
        <v>3</v>
      </c>
      <c r="AI264">
        <v>-2.7410098636273301</v>
      </c>
      <c r="AJ264">
        <v>1.4121488045877499</v>
      </c>
      <c r="AK264" s="57">
        <v>0.26900000000000002</v>
      </c>
      <c r="AL264">
        <v>-7.3275979537201597</v>
      </c>
      <c r="AM264">
        <v>1.8455782264656799</v>
      </c>
    </row>
    <row r="265" spans="32:39">
      <c r="AH265" t="s">
        <v>1</v>
      </c>
      <c r="AI265">
        <v>0.40904551642560899</v>
      </c>
      <c r="AJ265">
        <v>1.41877552993607</v>
      </c>
      <c r="AK265" s="57">
        <v>0.99</v>
      </c>
      <c r="AL265">
        <v>-4.2046850922493997</v>
      </c>
      <c r="AM265">
        <v>5.0227761251004202</v>
      </c>
    </row>
    <row r="266" spans="32:39">
      <c r="AG266" t="s">
        <v>1</v>
      </c>
      <c r="AH266" t="s">
        <v>3</v>
      </c>
      <c r="AI266">
        <v>-3.1500553800528399</v>
      </c>
      <c r="AJ266">
        <v>1.76380914907452</v>
      </c>
      <c r="AK266" s="57">
        <v>0.3</v>
      </c>
      <c r="AL266">
        <v>-8.44964484448532</v>
      </c>
      <c r="AM266">
        <v>2.1495340843798298</v>
      </c>
    </row>
    <row r="267" spans="32:39">
      <c r="AH267" t="s">
        <v>2</v>
      </c>
      <c r="AI267">
        <v>-0.40904551642560899</v>
      </c>
      <c r="AJ267">
        <v>1.41877552993607</v>
      </c>
      <c r="AK267" s="57">
        <v>0.99</v>
      </c>
      <c r="AL267">
        <v>-5.0227761251004202</v>
      </c>
      <c r="AM267">
        <v>4.2046850922493997</v>
      </c>
    </row>
    <row r="268" spans="32:39">
      <c r="AF268" t="s">
        <v>184</v>
      </c>
      <c r="AG268" t="s">
        <v>3</v>
      </c>
      <c r="AH268" t="s">
        <v>2</v>
      </c>
      <c r="AI268">
        <v>2.7410098636273301</v>
      </c>
      <c r="AJ268">
        <v>1.4121488045877499</v>
      </c>
      <c r="AK268" s="57">
        <v>0.24399999999999999</v>
      </c>
      <c r="AL268">
        <v>-1.73599464654755</v>
      </c>
      <c r="AM268">
        <v>7.2180143738020304</v>
      </c>
    </row>
    <row r="269" spans="32:39">
      <c r="AH269" t="s">
        <v>1</v>
      </c>
      <c r="AI269">
        <v>3.1500553800528399</v>
      </c>
      <c r="AJ269">
        <v>1.76380914907452</v>
      </c>
      <c r="AK269" s="57">
        <v>0.27800000000000002</v>
      </c>
      <c r="AL269">
        <v>-2.0673507112684599</v>
      </c>
      <c r="AM269">
        <v>8.3674614713739501</v>
      </c>
    </row>
    <row r="270" spans="32:39">
      <c r="AG270" t="s">
        <v>2</v>
      </c>
      <c r="AH270" t="s">
        <v>3</v>
      </c>
      <c r="AI270">
        <v>-2.7410098636273301</v>
      </c>
      <c r="AJ270">
        <v>1.4121488045877499</v>
      </c>
      <c r="AK270" s="57">
        <v>0.24399999999999999</v>
      </c>
      <c r="AL270">
        <v>-7.2180143738020304</v>
      </c>
      <c r="AM270">
        <v>1.73599464654755</v>
      </c>
    </row>
    <row r="271" spans="32:39">
      <c r="AH271" t="s">
        <v>1</v>
      </c>
      <c r="AI271">
        <v>0.40904551642560899</v>
      </c>
      <c r="AJ271">
        <v>1.41877552993607</v>
      </c>
      <c r="AK271" s="57">
        <v>0.98699999999999999</v>
      </c>
      <c r="AL271">
        <v>-4.0937991360699302</v>
      </c>
      <c r="AM271">
        <v>4.9118901689209498</v>
      </c>
    </row>
    <row r="272" spans="32:39">
      <c r="AG272" t="s">
        <v>1</v>
      </c>
      <c r="AH272" t="s">
        <v>3</v>
      </c>
      <c r="AI272">
        <v>-3.1500553800528399</v>
      </c>
      <c r="AJ272">
        <v>1.76380914907452</v>
      </c>
      <c r="AK272" s="57">
        <v>0.27800000000000002</v>
      </c>
      <c r="AL272">
        <v>-8.3674614713739501</v>
      </c>
      <c r="AM272">
        <v>2.0673507112684599</v>
      </c>
    </row>
    <row r="273" spans="31:39">
      <c r="AH273" t="s">
        <v>2</v>
      </c>
      <c r="AI273">
        <v>-0.40904551642560899</v>
      </c>
      <c r="AJ273">
        <v>1.41877552993607</v>
      </c>
      <c r="AK273" s="57">
        <v>0.98699999999999999</v>
      </c>
      <c r="AL273">
        <v>-4.9118901689209498</v>
      </c>
      <c r="AM273">
        <v>4.0937991360699302</v>
      </c>
    </row>
    <row r="274" spans="31:39">
      <c r="AE274" t="s">
        <v>120</v>
      </c>
      <c r="AF274" t="s">
        <v>182</v>
      </c>
      <c r="AG274" t="s">
        <v>3</v>
      </c>
      <c r="AH274" t="s">
        <v>2</v>
      </c>
      <c r="AI274">
        <v>-5.0736860594876997E-2</v>
      </c>
      <c r="AJ274">
        <v>3.9226230986693998E-2</v>
      </c>
      <c r="AK274" s="57">
        <v>0.42499999999999999</v>
      </c>
      <c r="AL274">
        <v>-0.155387096730671</v>
      </c>
      <c r="AM274">
        <v>5.3913375541116998E-2</v>
      </c>
    </row>
    <row r="275" spans="31:39">
      <c r="AH275" t="s">
        <v>1</v>
      </c>
      <c r="AI275" t="s">
        <v>189</v>
      </c>
      <c r="AJ275">
        <v>3.9226230986693998E-2</v>
      </c>
      <c r="AK275" s="57">
        <v>0</v>
      </c>
      <c r="AL275">
        <v>-0.48041594360772299</v>
      </c>
      <c r="AM275">
        <v>-0.27111547133613401</v>
      </c>
    </row>
    <row r="276" spans="31:39">
      <c r="AG276" t="s">
        <v>2</v>
      </c>
      <c r="AH276" t="s">
        <v>3</v>
      </c>
      <c r="AI276">
        <v>5.0736860594876997E-2</v>
      </c>
      <c r="AJ276">
        <v>3.9226230986693998E-2</v>
      </c>
      <c r="AK276" s="57">
        <v>0.42499999999999999</v>
      </c>
      <c r="AL276">
        <v>-5.3913375541116998E-2</v>
      </c>
      <c r="AM276">
        <v>0.155387096730671</v>
      </c>
    </row>
    <row r="277" spans="31:39">
      <c r="AH277" t="s">
        <v>1</v>
      </c>
      <c r="AI277" t="s">
        <v>190</v>
      </c>
      <c r="AJ277">
        <v>3.9226230986693998E-2</v>
      </c>
      <c r="AK277" s="57">
        <v>0</v>
      </c>
      <c r="AL277">
        <v>-0.42967908301294599</v>
      </c>
      <c r="AM277">
        <v>-0.22037861074135701</v>
      </c>
    </row>
    <row r="278" spans="31:39">
      <c r="AG278" t="s">
        <v>1</v>
      </c>
      <c r="AH278" t="s">
        <v>3</v>
      </c>
      <c r="AI278" t="s">
        <v>191</v>
      </c>
      <c r="AJ278">
        <v>3.9226230986693998E-2</v>
      </c>
      <c r="AK278" s="57">
        <v>0</v>
      </c>
      <c r="AL278">
        <v>0.27111547133613401</v>
      </c>
      <c r="AM278">
        <v>0.48041594360772299</v>
      </c>
    </row>
    <row r="279" spans="31:39">
      <c r="AH279" t="s">
        <v>2</v>
      </c>
      <c r="AI279" t="s">
        <v>192</v>
      </c>
      <c r="AJ279">
        <v>3.9226230986693998E-2</v>
      </c>
      <c r="AK279" s="57">
        <v>0</v>
      </c>
      <c r="AL279">
        <v>0.22037861074135701</v>
      </c>
      <c r="AM279">
        <v>0.42967908301294599</v>
      </c>
    </row>
    <row r="280" spans="31:39">
      <c r="AF280" t="s">
        <v>183</v>
      </c>
      <c r="AG280" t="s">
        <v>3</v>
      </c>
      <c r="AH280" t="s">
        <v>2</v>
      </c>
      <c r="AI280">
        <v>-5.0736860594876997E-2</v>
      </c>
      <c r="AJ280">
        <v>3.0102945404767E-2</v>
      </c>
      <c r="AK280" s="57">
        <v>0.34200000000000003</v>
      </c>
      <c r="AL280">
        <v>-0.141185988360747</v>
      </c>
      <c r="AM280">
        <v>3.9712267171192001E-2</v>
      </c>
    </row>
    <row r="281" spans="31:39">
      <c r="AH281" t="s">
        <v>1</v>
      </c>
      <c r="AI281" t="s">
        <v>189</v>
      </c>
      <c r="AJ281">
        <v>4.3116196886936999E-2</v>
      </c>
      <c r="AK281" s="57">
        <v>0</v>
      </c>
      <c r="AL281">
        <v>-0.51416316377363203</v>
      </c>
      <c r="AM281">
        <v>-0.237368251170225</v>
      </c>
    </row>
    <row r="282" spans="31:39">
      <c r="AG282" t="s">
        <v>2</v>
      </c>
      <c r="AH282" t="s">
        <v>3</v>
      </c>
      <c r="AI282">
        <v>5.0736860594876997E-2</v>
      </c>
      <c r="AJ282">
        <v>3.0102945404767E-2</v>
      </c>
      <c r="AK282" s="57">
        <v>0.34200000000000003</v>
      </c>
      <c r="AL282">
        <v>-3.9712267171192001E-2</v>
      </c>
      <c r="AM282">
        <v>0.141185988360747</v>
      </c>
    </row>
    <row r="283" spans="31:39">
      <c r="AH283" t="s">
        <v>1</v>
      </c>
      <c r="AI283" t="s">
        <v>190</v>
      </c>
      <c r="AJ283">
        <v>4.3022062203347998E-2</v>
      </c>
      <c r="AK283" s="57">
        <v>1E-3</v>
      </c>
      <c r="AL283">
        <v>-0.46336836122085001</v>
      </c>
      <c r="AM283">
        <v>-0.18668933253345299</v>
      </c>
    </row>
    <row r="284" spans="31:39">
      <c r="AG284" t="s">
        <v>1</v>
      </c>
      <c r="AH284" t="s">
        <v>3</v>
      </c>
      <c r="AI284" t="s">
        <v>191</v>
      </c>
      <c r="AJ284">
        <v>4.3116196886936999E-2</v>
      </c>
      <c r="AK284" s="57">
        <v>0</v>
      </c>
      <c r="AL284">
        <v>0.237368251170225</v>
      </c>
      <c r="AM284">
        <v>0.51416316377363203</v>
      </c>
    </row>
    <row r="285" spans="31:39">
      <c r="AH285" t="s">
        <v>2</v>
      </c>
      <c r="AI285" t="s">
        <v>192</v>
      </c>
      <c r="AJ285">
        <v>4.3022062203347998E-2</v>
      </c>
      <c r="AK285" s="57">
        <v>1E-3</v>
      </c>
      <c r="AL285">
        <v>0.18668933253345299</v>
      </c>
      <c r="AM285">
        <v>0.46336836122085001</v>
      </c>
    </row>
    <row r="286" spans="31:39">
      <c r="AF286" t="s">
        <v>184</v>
      </c>
      <c r="AG286" t="s">
        <v>3</v>
      </c>
      <c r="AH286" t="s">
        <v>2</v>
      </c>
      <c r="AI286">
        <v>-5.0736860594876997E-2</v>
      </c>
      <c r="AJ286">
        <v>3.0102945404767E-2</v>
      </c>
      <c r="AK286" s="57">
        <v>0.31900000000000001</v>
      </c>
      <c r="AL286">
        <v>-0.13978325090289201</v>
      </c>
      <c r="AM286">
        <v>3.8309529713338002E-2</v>
      </c>
    </row>
    <row r="287" spans="31:39">
      <c r="AH287" t="s">
        <v>1</v>
      </c>
      <c r="AI287" t="s">
        <v>189</v>
      </c>
      <c r="AJ287">
        <v>4.3116196886936999E-2</v>
      </c>
      <c r="AK287" s="57">
        <v>0</v>
      </c>
      <c r="AL287">
        <v>-0.51104413889767597</v>
      </c>
      <c r="AM287">
        <v>-0.240487276046181</v>
      </c>
    </row>
    <row r="288" spans="31:39">
      <c r="AG288" t="s">
        <v>2</v>
      </c>
      <c r="AH288" t="s">
        <v>3</v>
      </c>
      <c r="AI288">
        <v>5.0736860594876997E-2</v>
      </c>
      <c r="AJ288">
        <v>3.0102945404767E-2</v>
      </c>
      <c r="AK288" s="57">
        <v>0.31900000000000001</v>
      </c>
      <c r="AL288">
        <v>-3.8309529713338002E-2</v>
      </c>
      <c r="AM288">
        <v>0.13978325090289201</v>
      </c>
    </row>
    <row r="289" spans="31:39">
      <c r="AH289" t="s">
        <v>1</v>
      </c>
      <c r="AI289" t="s">
        <v>190</v>
      </c>
      <c r="AJ289">
        <v>4.3022062203347998E-2</v>
      </c>
      <c r="AK289" s="57">
        <v>1E-3</v>
      </c>
      <c r="AL289">
        <v>-0.46022280478663802</v>
      </c>
      <c r="AM289">
        <v>-0.18983488896766401</v>
      </c>
    </row>
    <row r="290" spans="31:39">
      <c r="AG290" t="s">
        <v>1</v>
      </c>
      <c r="AH290" t="s">
        <v>3</v>
      </c>
      <c r="AI290" t="s">
        <v>191</v>
      </c>
      <c r="AJ290">
        <v>4.3116196886936999E-2</v>
      </c>
      <c r="AK290" s="57">
        <v>0</v>
      </c>
      <c r="AL290">
        <v>0.240487276046181</v>
      </c>
      <c r="AM290">
        <v>0.51104413889767597</v>
      </c>
    </row>
    <row r="291" spans="31:39">
      <c r="AH291" t="s">
        <v>2</v>
      </c>
      <c r="AI291" t="s">
        <v>192</v>
      </c>
      <c r="AJ291">
        <v>4.3022062203347998E-2</v>
      </c>
      <c r="AK291" s="57">
        <v>1E-3</v>
      </c>
      <c r="AL291">
        <v>0.18983488896766401</v>
      </c>
      <c r="AM291">
        <v>0.46022280478663802</v>
      </c>
    </row>
    <row r="292" spans="31:39">
      <c r="AE292" t="s">
        <v>121</v>
      </c>
      <c r="AF292" t="s">
        <v>182</v>
      </c>
      <c r="AG292" t="s">
        <v>3</v>
      </c>
      <c r="AH292" t="s">
        <v>2</v>
      </c>
      <c r="AI292" t="s">
        <v>193</v>
      </c>
      <c r="AJ292">
        <v>0.26613570965243699</v>
      </c>
      <c r="AK292" s="57">
        <v>0</v>
      </c>
      <c r="AL292">
        <v>-2.7270654482349501</v>
      </c>
      <c r="AM292">
        <v>-1.30703787185105</v>
      </c>
    </row>
    <row r="293" spans="31:39">
      <c r="AH293" t="s">
        <v>1</v>
      </c>
      <c r="AI293" t="s">
        <v>194</v>
      </c>
      <c r="AJ293">
        <v>0.26613570965243699</v>
      </c>
      <c r="AK293" s="57">
        <v>2E-3</v>
      </c>
      <c r="AL293">
        <v>-1.9000151153131399</v>
      </c>
      <c r="AM293">
        <v>-0.47998753892923601</v>
      </c>
    </row>
    <row r="294" spans="31:39">
      <c r="AG294" t="s">
        <v>2</v>
      </c>
      <c r="AH294" t="s">
        <v>3</v>
      </c>
      <c r="AI294" t="s">
        <v>195</v>
      </c>
      <c r="AJ294">
        <v>0.26613570965243699</v>
      </c>
      <c r="AK294" s="57">
        <v>0</v>
      </c>
      <c r="AL294">
        <v>1.30703787185105</v>
      </c>
      <c r="AM294">
        <v>2.7270654482349501</v>
      </c>
    </row>
    <row r="295" spans="31:39">
      <c r="AH295" t="s">
        <v>1</v>
      </c>
      <c r="AI295" t="s">
        <v>196</v>
      </c>
      <c r="AJ295">
        <v>0.26613570965243699</v>
      </c>
      <c r="AK295" s="57">
        <v>2.3E-2</v>
      </c>
      <c r="AL295">
        <v>0.117036544729963</v>
      </c>
      <c r="AM295">
        <v>1.53706412111386</v>
      </c>
    </row>
    <row r="296" spans="31:39">
      <c r="AG296" t="s">
        <v>1</v>
      </c>
      <c r="AH296" t="s">
        <v>3</v>
      </c>
      <c r="AI296" t="s">
        <v>197</v>
      </c>
      <c r="AJ296">
        <v>0.26613570965243699</v>
      </c>
      <c r="AK296" s="57">
        <v>2E-3</v>
      </c>
      <c r="AL296">
        <v>0.47998753892923601</v>
      </c>
      <c r="AM296">
        <v>1.9000151153131399</v>
      </c>
    </row>
    <row r="297" spans="31:39">
      <c r="AH297" t="s">
        <v>2</v>
      </c>
      <c r="AI297" t="s">
        <v>198</v>
      </c>
      <c r="AJ297">
        <v>0.26613570965243699</v>
      </c>
      <c r="AK297" s="57">
        <v>2.3E-2</v>
      </c>
      <c r="AL297">
        <v>-1.53706412111386</v>
      </c>
      <c r="AM297">
        <v>-0.117036544729963</v>
      </c>
    </row>
    <row r="298" spans="31:39">
      <c r="AF298" t="s">
        <v>183</v>
      </c>
      <c r="AG298" t="s">
        <v>3</v>
      </c>
      <c r="AH298" t="s">
        <v>2</v>
      </c>
      <c r="AI298" t="s">
        <v>193</v>
      </c>
      <c r="AJ298">
        <v>0.29347601671659101</v>
      </c>
      <c r="AK298" s="57">
        <v>3.0000000000000001E-3</v>
      </c>
      <c r="AL298">
        <v>-3.0350976555178599</v>
      </c>
      <c r="AM298">
        <v>-0.99900566456814599</v>
      </c>
    </row>
    <row r="299" spans="31:39">
      <c r="AH299" t="s">
        <v>1</v>
      </c>
      <c r="AI299" t="s">
        <v>194</v>
      </c>
      <c r="AJ299">
        <v>0.17686430876630199</v>
      </c>
      <c r="AK299" s="57">
        <v>1E-3</v>
      </c>
      <c r="AL299">
        <v>-1.73248765668945</v>
      </c>
      <c r="AM299">
        <v>-0.64751499755292097</v>
      </c>
    </row>
    <row r="300" spans="31:39">
      <c r="AG300" t="s">
        <v>2</v>
      </c>
      <c r="AH300" t="s">
        <v>3</v>
      </c>
      <c r="AI300" t="s">
        <v>195</v>
      </c>
      <c r="AJ300">
        <v>0.29347601671659101</v>
      </c>
      <c r="AK300" s="57">
        <v>3.0000000000000001E-3</v>
      </c>
      <c r="AL300">
        <v>0.99900566456814599</v>
      </c>
      <c r="AM300">
        <v>3.0350976555178599</v>
      </c>
    </row>
    <row r="301" spans="31:39">
      <c r="AH301" t="s">
        <v>1</v>
      </c>
      <c r="AI301">
        <v>0.82705033292191499</v>
      </c>
      <c r="AJ301">
        <v>0.30834313962434201</v>
      </c>
      <c r="AK301" s="57">
        <v>0.105</v>
      </c>
      <c r="AL301">
        <v>-0.18227374708848601</v>
      </c>
      <c r="AM301">
        <v>1.83637441293211</v>
      </c>
    </row>
    <row r="302" spans="31:39">
      <c r="AG302" t="s">
        <v>1</v>
      </c>
      <c r="AH302" t="s">
        <v>3</v>
      </c>
      <c r="AI302" t="s">
        <v>197</v>
      </c>
      <c r="AJ302">
        <v>0.17686430876630199</v>
      </c>
      <c r="AK302" s="57">
        <v>1E-3</v>
      </c>
      <c r="AL302">
        <v>0.64751499755292097</v>
      </c>
      <c r="AM302">
        <v>1.73248765668945</v>
      </c>
    </row>
    <row r="303" spans="31:39">
      <c r="AH303" t="s">
        <v>2</v>
      </c>
      <c r="AI303">
        <v>-0.82705033292191499</v>
      </c>
      <c r="AJ303">
        <v>0.30834313962434201</v>
      </c>
      <c r="AK303" s="57">
        <v>0.105</v>
      </c>
      <c r="AL303">
        <v>-1.83637441293211</v>
      </c>
      <c r="AM303">
        <v>0.18227374708848601</v>
      </c>
    </row>
    <row r="304" spans="31:39">
      <c r="AF304" t="s">
        <v>184</v>
      </c>
      <c r="AG304" t="s">
        <v>3</v>
      </c>
      <c r="AH304" t="s">
        <v>2</v>
      </c>
      <c r="AI304" t="s">
        <v>193</v>
      </c>
      <c r="AJ304">
        <v>0.29347601671659101</v>
      </c>
      <c r="AK304" s="57">
        <v>2E-3</v>
      </c>
      <c r="AL304">
        <v>-3.00255407603917</v>
      </c>
      <c r="AM304">
        <v>-1.0315492440468199</v>
      </c>
    </row>
    <row r="305" spans="31:39">
      <c r="AH305" t="s">
        <v>1</v>
      </c>
      <c r="AI305" t="s">
        <v>194</v>
      </c>
      <c r="AJ305">
        <v>0.17686430876630199</v>
      </c>
      <c r="AK305" s="57">
        <v>1E-3</v>
      </c>
      <c r="AL305">
        <v>-1.72294273613951</v>
      </c>
      <c r="AM305">
        <v>-0.65705991810286202</v>
      </c>
    </row>
    <row r="306" spans="31:39">
      <c r="AG306" t="s">
        <v>2</v>
      </c>
      <c r="AH306" t="s">
        <v>3</v>
      </c>
      <c r="AI306" t="s">
        <v>195</v>
      </c>
      <c r="AJ306">
        <v>0.29347601671659101</v>
      </c>
      <c r="AK306" s="57">
        <v>2E-3</v>
      </c>
      <c r="AL306">
        <v>1.0315492440468199</v>
      </c>
      <c r="AM306">
        <v>3.00255407603917</v>
      </c>
    </row>
    <row r="307" spans="31:39">
      <c r="AH307" t="s">
        <v>1</v>
      </c>
      <c r="AI307">
        <v>0.82705033292191499</v>
      </c>
      <c r="AJ307">
        <v>0.30834313962434201</v>
      </c>
      <c r="AK307" s="57">
        <v>9.5000000000000001E-2</v>
      </c>
      <c r="AL307">
        <v>-0.15723803639902301</v>
      </c>
      <c r="AM307">
        <v>1.8113387022426499</v>
      </c>
    </row>
    <row r="308" spans="31:39">
      <c r="AG308" t="s">
        <v>1</v>
      </c>
      <c r="AH308" t="s">
        <v>3</v>
      </c>
      <c r="AI308" t="s">
        <v>197</v>
      </c>
      <c r="AJ308">
        <v>0.17686430876630199</v>
      </c>
      <c r="AK308" s="57">
        <v>1E-3</v>
      </c>
      <c r="AL308">
        <v>0.65705991810286202</v>
      </c>
      <c r="AM308">
        <v>1.72294273613951</v>
      </c>
    </row>
    <row r="309" spans="31:39">
      <c r="AH309" t="s">
        <v>2</v>
      </c>
      <c r="AI309">
        <v>-0.82705033292191499</v>
      </c>
      <c r="AJ309">
        <v>0.30834313962434201</v>
      </c>
      <c r="AK309" s="57">
        <v>9.5000000000000001E-2</v>
      </c>
      <c r="AL309">
        <v>-1.8113387022426499</v>
      </c>
      <c r="AM309">
        <v>0.15723803639902301</v>
      </c>
    </row>
    <row r="310" spans="31:39">
      <c r="AE310" t="s">
        <v>122</v>
      </c>
      <c r="AF310" t="s">
        <v>182</v>
      </c>
      <c r="AG310" t="s">
        <v>3</v>
      </c>
      <c r="AH310" t="s">
        <v>2</v>
      </c>
      <c r="AI310" t="s">
        <v>199</v>
      </c>
      <c r="AJ310">
        <v>2.6176325656755001E-2</v>
      </c>
      <c r="AK310" s="57">
        <v>0</v>
      </c>
      <c r="AL310">
        <v>-0.21843830690840901</v>
      </c>
      <c r="AM310">
        <v>-7.8768571007829996E-2</v>
      </c>
    </row>
    <row r="311" spans="31:39">
      <c r="AH311" t="s">
        <v>1</v>
      </c>
      <c r="AI311" t="s">
        <v>200</v>
      </c>
      <c r="AJ311">
        <v>2.6176325656755001E-2</v>
      </c>
      <c r="AK311" s="57">
        <v>0</v>
      </c>
      <c r="AL311">
        <v>-0.44619932774886001</v>
      </c>
      <c r="AM311">
        <v>-0.30652959184828199</v>
      </c>
    </row>
    <row r="312" spans="31:39">
      <c r="AG312" t="s">
        <v>2</v>
      </c>
      <c r="AH312" t="s">
        <v>3</v>
      </c>
      <c r="AI312" t="s">
        <v>201</v>
      </c>
      <c r="AJ312">
        <v>2.6176325656755001E-2</v>
      </c>
      <c r="AK312" s="57">
        <v>0</v>
      </c>
      <c r="AL312">
        <v>7.8768571007829996E-2</v>
      </c>
      <c r="AM312">
        <v>0.21843830690840901</v>
      </c>
    </row>
    <row r="313" spans="31:39">
      <c r="AH313" t="s">
        <v>1</v>
      </c>
      <c r="AI313" t="s">
        <v>202</v>
      </c>
      <c r="AJ313">
        <v>2.6176325656755001E-2</v>
      </c>
      <c r="AK313" s="57">
        <v>0</v>
      </c>
      <c r="AL313">
        <v>-0.29759588879084098</v>
      </c>
      <c r="AM313">
        <v>-0.15792615289026199</v>
      </c>
    </row>
    <row r="314" spans="31:39">
      <c r="AG314" t="s">
        <v>1</v>
      </c>
      <c r="AH314" t="s">
        <v>3</v>
      </c>
      <c r="AI314" t="s">
        <v>203</v>
      </c>
      <c r="AJ314">
        <v>2.6176325656755001E-2</v>
      </c>
      <c r="AK314" s="57">
        <v>0</v>
      </c>
      <c r="AL314">
        <v>0.30652959184828199</v>
      </c>
      <c r="AM314">
        <v>0.44619932774886001</v>
      </c>
    </row>
    <row r="315" spans="31:39">
      <c r="AH315" t="s">
        <v>2</v>
      </c>
      <c r="AI315" t="s">
        <v>204</v>
      </c>
      <c r="AJ315">
        <v>2.6176325656755001E-2</v>
      </c>
      <c r="AK315" s="57">
        <v>0</v>
      </c>
      <c r="AL315">
        <v>0.15792615289026199</v>
      </c>
      <c r="AM315">
        <v>0.29759588879084098</v>
      </c>
    </row>
    <row r="316" spans="31:39">
      <c r="AF316" t="s">
        <v>183</v>
      </c>
      <c r="AG316" t="s">
        <v>3</v>
      </c>
      <c r="AH316" t="s">
        <v>2</v>
      </c>
      <c r="AI316" t="s">
        <v>199</v>
      </c>
      <c r="AJ316">
        <v>1.9602662197182E-2</v>
      </c>
      <c r="AK316" s="57">
        <v>5.0000000000000001E-3</v>
      </c>
      <c r="AL316">
        <v>-0.225848059004466</v>
      </c>
      <c r="AM316">
        <v>-7.1358818911772995E-2</v>
      </c>
    </row>
    <row r="317" spans="31:39">
      <c r="AH317" t="s">
        <v>1</v>
      </c>
      <c r="AI317" t="s">
        <v>200</v>
      </c>
      <c r="AJ317">
        <v>2.5368004890353998E-2</v>
      </c>
      <c r="AK317" s="57">
        <v>0</v>
      </c>
      <c r="AL317">
        <v>-0.47632750968335802</v>
      </c>
      <c r="AM317">
        <v>-0.27640140991378398</v>
      </c>
    </row>
    <row r="318" spans="31:39">
      <c r="AG318" t="s">
        <v>2</v>
      </c>
      <c r="AH318" t="s">
        <v>3</v>
      </c>
      <c r="AI318" t="s">
        <v>201</v>
      </c>
      <c r="AJ318">
        <v>1.9602662197182E-2</v>
      </c>
      <c r="AK318" s="57">
        <v>5.0000000000000001E-3</v>
      </c>
      <c r="AL318">
        <v>7.1358818911772995E-2</v>
      </c>
      <c r="AM318">
        <v>0.225848059004466</v>
      </c>
    </row>
    <row r="319" spans="31:39">
      <c r="AH319" t="s">
        <v>1</v>
      </c>
      <c r="AI319" t="s">
        <v>202</v>
      </c>
      <c r="AJ319">
        <v>3.2059320599963997E-2</v>
      </c>
      <c r="AK319" s="57">
        <v>0</v>
      </c>
      <c r="AL319">
        <v>-0.32564262337236799</v>
      </c>
      <c r="AM319">
        <v>-0.12987941830873601</v>
      </c>
    </row>
    <row r="320" spans="31:39">
      <c r="AG320" t="s">
        <v>1</v>
      </c>
      <c r="AH320" t="s">
        <v>3</v>
      </c>
      <c r="AI320" t="s">
        <v>203</v>
      </c>
      <c r="AJ320">
        <v>2.5368004890353998E-2</v>
      </c>
      <c r="AK320" s="57">
        <v>0</v>
      </c>
      <c r="AL320">
        <v>0.27640140991378398</v>
      </c>
      <c r="AM320">
        <v>0.47632750968335802</v>
      </c>
    </row>
    <row r="321" spans="31:39">
      <c r="AH321" t="s">
        <v>2</v>
      </c>
      <c r="AI321" t="s">
        <v>204</v>
      </c>
      <c r="AJ321">
        <v>3.2059320599963997E-2</v>
      </c>
      <c r="AK321" s="57">
        <v>0</v>
      </c>
      <c r="AL321">
        <v>0.12987941830873601</v>
      </c>
      <c r="AM321">
        <v>0.32564262337236799</v>
      </c>
    </row>
    <row r="322" spans="31:39">
      <c r="AF322" t="s">
        <v>184</v>
      </c>
      <c r="AG322" t="s">
        <v>3</v>
      </c>
      <c r="AH322" t="s">
        <v>2</v>
      </c>
      <c r="AI322" t="s">
        <v>199</v>
      </c>
      <c r="AJ322">
        <v>1.9602662197182E-2</v>
      </c>
      <c r="AK322" s="57">
        <v>4.0000000000000001E-3</v>
      </c>
      <c r="AL322">
        <v>-0.22200711704165199</v>
      </c>
      <c r="AM322">
        <v>-7.5199760874587004E-2</v>
      </c>
    </row>
    <row r="323" spans="31:39">
      <c r="AH323" t="s">
        <v>1</v>
      </c>
      <c r="AI323" t="s">
        <v>200</v>
      </c>
      <c r="AJ323">
        <v>2.5368004890353998E-2</v>
      </c>
      <c r="AK323" s="57">
        <v>0</v>
      </c>
      <c r="AL323">
        <v>-0.471356907552064</v>
      </c>
      <c r="AM323">
        <v>-0.281372012045078</v>
      </c>
    </row>
    <row r="324" spans="31:39">
      <c r="AG324" t="s">
        <v>2</v>
      </c>
      <c r="AH324" t="s">
        <v>3</v>
      </c>
      <c r="AI324" t="s">
        <v>201</v>
      </c>
      <c r="AJ324">
        <v>1.9602662197182E-2</v>
      </c>
      <c r="AK324" s="57">
        <v>4.0000000000000001E-3</v>
      </c>
      <c r="AL324">
        <v>7.5199760874587004E-2</v>
      </c>
      <c r="AM324">
        <v>0.22200711704165199</v>
      </c>
    </row>
    <row r="325" spans="31:39">
      <c r="AH325" t="s">
        <v>1</v>
      </c>
      <c r="AI325" t="s">
        <v>202</v>
      </c>
      <c r="AJ325">
        <v>3.2059320599963997E-2</v>
      </c>
      <c r="AK325" s="57">
        <v>0</v>
      </c>
      <c r="AL325">
        <v>-0.323966926495522</v>
      </c>
      <c r="AM325">
        <v>-0.13155511518558199</v>
      </c>
    </row>
    <row r="326" spans="31:39">
      <c r="AG326" t="s">
        <v>1</v>
      </c>
      <c r="AH326" t="s">
        <v>3</v>
      </c>
      <c r="AI326" t="s">
        <v>203</v>
      </c>
      <c r="AJ326">
        <v>2.5368004890353998E-2</v>
      </c>
      <c r="AK326" s="57">
        <v>0</v>
      </c>
      <c r="AL326">
        <v>0.281372012045078</v>
      </c>
      <c r="AM326">
        <v>0.471356907552064</v>
      </c>
    </row>
    <row r="327" spans="31:39">
      <c r="AH327" t="s">
        <v>2</v>
      </c>
      <c r="AI327" t="s">
        <v>204</v>
      </c>
      <c r="AJ327">
        <v>3.2059320599963997E-2</v>
      </c>
      <c r="AK327" s="57">
        <v>0</v>
      </c>
      <c r="AL327">
        <v>0.13155511518558199</v>
      </c>
      <c r="AM327">
        <v>0.323966926495522</v>
      </c>
    </row>
    <row r="328" spans="31:39">
      <c r="AE328" t="s">
        <v>123</v>
      </c>
      <c r="AF328" t="s">
        <v>182</v>
      </c>
      <c r="AG328" t="s">
        <v>3</v>
      </c>
      <c r="AH328" t="s">
        <v>2</v>
      </c>
      <c r="AI328">
        <v>4.8509371356859003E-2</v>
      </c>
      <c r="AJ328">
        <v>2.0600864841924998E-2</v>
      </c>
      <c r="AK328" s="57">
        <v>8.5999999999999993E-2</v>
      </c>
      <c r="AL328">
        <v>-6.4509273025559997E-3</v>
      </c>
      <c r="AM328">
        <v>0.103469670016074</v>
      </c>
    </row>
    <row r="329" spans="31:39">
      <c r="AH329" t="s">
        <v>1</v>
      </c>
      <c r="AI329">
        <v>4.7037767469441001E-2</v>
      </c>
      <c r="AJ329">
        <v>2.0600864841924998E-2</v>
      </c>
      <c r="AK329" s="57">
        <v>9.7000000000000003E-2</v>
      </c>
      <c r="AL329">
        <v>-7.9225311899740001E-3</v>
      </c>
      <c r="AM329">
        <v>0.101998066128656</v>
      </c>
    </row>
    <row r="330" spans="31:39">
      <c r="AG330" t="s">
        <v>2</v>
      </c>
      <c r="AH330" t="s">
        <v>3</v>
      </c>
      <c r="AI330">
        <v>-4.8509371356859003E-2</v>
      </c>
      <c r="AJ330">
        <v>2.0600864841924998E-2</v>
      </c>
      <c r="AK330" s="57">
        <v>8.5999999999999993E-2</v>
      </c>
      <c r="AL330">
        <v>-0.103469670016074</v>
      </c>
      <c r="AM330">
        <v>6.4509273025559997E-3</v>
      </c>
    </row>
    <row r="331" spans="31:39">
      <c r="AH331" t="s">
        <v>1</v>
      </c>
      <c r="AI331">
        <v>-1.471603887518E-3</v>
      </c>
      <c r="AJ331">
        <v>2.0600864841924998E-2</v>
      </c>
      <c r="AK331" s="57">
        <v>0.997</v>
      </c>
      <c r="AL331">
        <v>-5.6431902546732998E-2</v>
      </c>
      <c r="AM331">
        <v>5.3488694771897001E-2</v>
      </c>
    </row>
    <row r="332" spans="31:39">
      <c r="AG332" t="s">
        <v>1</v>
      </c>
      <c r="AH332" t="s">
        <v>3</v>
      </c>
      <c r="AI332">
        <v>-4.7037767469441001E-2</v>
      </c>
      <c r="AJ332">
        <v>2.0600864841924998E-2</v>
      </c>
      <c r="AK332" s="57">
        <v>9.7000000000000003E-2</v>
      </c>
      <c r="AL332">
        <v>-0.101998066128656</v>
      </c>
      <c r="AM332">
        <v>7.9225311899740001E-3</v>
      </c>
    </row>
    <row r="333" spans="31:39">
      <c r="AH333" t="s">
        <v>2</v>
      </c>
      <c r="AI333">
        <v>1.471603887518E-3</v>
      </c>
      <c r="AJ333">
        <v>2.0600864841924998E-2</v>
      </c>
      <c r="AK333" s="57">
        <v>0.997</v>
      </c>
      <c r="AL333">
        <v>-5.3488694771897001E-2</v>
      </c>
      <c r="AM333">
        <v>5.6431902546732998E-2</v>
      </c>
    </row>
    <row r="334" spans="31:39">
      <c r="AF334" t="s">
        <v>183</v>
      </c>
      <c r="AG334" t="s">
        <v>3</v>
      </c>
      <c r="AH334" t="s">
        <v>2</v>
      </c>
      <c r="AI334">
        <v>4.8509371356859003E-2</v>
      </c>
      <c r="AJ334">
        <v>2.5225011676232999E-2</v>
      </c>
      <c r="AK334" s="57">
        <v>0.33300000000000002</v>
      </c>
      <c r="AL334">
        <v>-5.0478248509135001E-2</v>
      </c>
      <c r="AM334">
        <v>0.147496991222654</v>
      </c>
    </row>
    <row r="335" spans="31:39">
      <c r="AH335" t="s">
        <v>1</v>
      </c>
      <c r="AI335">
        <v>4.7037767469441001E-2</v>
      </c>
      <c r="AJ335">
        <v>2.5185632068222E-2</v>
      </c>
      <c r="AK335" s="57">
        <v>0.35299999999999998</v>
      </c>
      <c r="AL335">
        <v>-5.2153386959435999E-2</v>
      </c>
      <c r="AM335">
        <v>0.14622892189811801</v>
      </c>
    </row>
    <row r="336" spans="31:39">
      <c r="AG336" t="s">
        <v>2</v>
      </c>
      <c r="AH336" t="s">
        <v>3</v>
      </c>
      <c r="AI336">
        <v>-4.8509371356859003E-2</v>
      </c>
      <c r="AJ336">
        <v>2.5225011676232999E-2</v>
      </c>
      <c r="AK336" s="57">
        <v>0.33300000000000002</v>
      </c>
      <c r="AL336">
        <v>-0.147496991222654</v>
      </c>
      <c r="AM336">
        <v>5.0478248509135001E-2</v>
      </c>
    </row>
    <row r="337" spans="31:39">
      <c r="AH337" t="s">
        <v>1</v>
      </c>
      <c r="AI337">
        <v>-1.471603887518E-3</v>
      </c>
      <c r="AJ337">
        <v>1.6030034191799999E-3</v>
      </c>
      <c r="AK337" s="57">
        <v>0.78500000000000003</v>
      </c>
      <c r="AL337">
        <v>-7.1062982775969997E-3</v>
      </c>
      <c r="AM337">
        <v>4.1630905027609999E-3</v>
      </c>
    </row>
    <row r="338" spans="31:39">
      <c r="AG338" t="s">
        <v>1</v>
      </c>
      <c r="AH338" t="s">
        <v>3</v>
      </c>
      <c r="AI338">
        <v>-4.7037767469441001E-2</v>
      </c>
      <c r="AJ338">
        <v>2.5185632068222E-2</v>
      </c>
      <c r="AK338" s="57">
        <v>0.35299999999999998</v>
      </c>
      <c r="AL338">
        <v>-0.14622892189811801</v>
      </c>
      <c r="AM338">
        <v>5.2153386959435999E-2</v>
      </c>
    </row>
    <row r="339" spans="31:39">
      <c r="AH339" t="s">
        <v>2</v>
      </c>
      <c r="AI339">
        <v>1.471603887518E-3</v>
      </c>
      <c r="AJ339">
        <v>1.6030034191799999E-3</v>
      </c>
      <c r="AK339" s="57">
        <v>0.78500000000000003</v>
      </c>
      <c r="AL339">
        <v>-4.1630905027609999E-3</v>
      </c>
      <c r="AM339">
        <v>7.1062982775969997E-3</v>
      </c>
    </row>
    <row r="340" spans="31:39">
      <c r="AF340" t="s">
        <v>184</v>
      </c>
      <c r="AG340" t="s">
        <v>3</v>
      </c>
      <c r="AH340" t="s">
        <v>2</v>
      </c>
      <c r="AI340">
        <v>4.8509371356859003E-2</v>
      </c>
      <c r="AJ340">
        <v>2.5225011676232999E-2</v>
      </c>
      <c r="AK340" s="57">
        <v>0.28899999999999998</v>
      </c>
      <c r="AL340">
        <v>-4.5617188261099E-2</v>
      </c>
      <c r="AM340">
        <v>0.14263593097461799</v>
      </c>
    </row>
    <row r="341" spans="31:39">
      <c r="AH341" t="s">
        <v>1</v>
      </c>
      <c r="AI341">
        <v>4.7037767469441001E-2</v>
      </c>
      <c r="AJ341">
        <v>2.5185632068222E-2</v>
      </c>
      <c r="AK341" s="57">
        <v>0.307</v>
      </c>
      <c r="AL341">
        <v>-4.7229084258063998E-2</v>
      </c>
      <c r="AM341">
        <v>0.141304619196745</v>
      </c>
    </row>
    <row r="342" spans="31:39">
      <c r="AG342" t="s">
        <v>2</v>
      </c>
      <c r="AH342" t="s">
        <v>3</v>
      </c>
      <c r="AI342">
        <v>-4.8509371356859003E-2</v>
      </c>
      <c r="AJ342">
        <v>2.5225011676232999E-2</v>
      </c>
      <c r="AK342" s="57">
        <v>0.28899999999999998</v>
      </c>
      <c r="AL342">
        <v>-0.14263593097461799</v>
      </c>
      <c r="AM342">
        <v>4.5617188261099E-2</v>
      </c>
    </row>
    <row r="343" spans="31:39">
      <c r="AH343" t="s">
        <v>1</v>
      </c>
      <c r="AI343">
        <v>-1.471603887518E-3</v>
      </c>
      <c r="AJ343">
        <v>1.6030034191799999E-3</v>
      </c>
      <c r="AK343" s="57">
        <v>0.746</v>
      </c>
      <c r="AL343">
        <v>-6.9164877177209996E-3</v>
      </c>
      <c r="AM343">
        <v>3.9732799428849998E-3</v>
      </c>
    </row>
    <row r="344" spans="31:39">
      <c r="AG344" t="s">
        <v>1</v>
      </c>
      <c r="AH344" t="s">
        <v>3</v>
      </c>
      <c r="AI344">
        <v>-4.7037767469441001E-2</v>
      </c>
      <c r="AJ344">
        <v>2.5185632068222E-2</v>
      </c>
      <c r="AK344" s="57">
        <v>0.307</v>
      </c>
      <c r="AL344">
        <v>-0.141304619196745</v>
      </c>
      <c r="AM344">
        <v>4.7229084258063998E-2</v>
      </c>
    </row>
    <row r="345" spans="31:39">
      <c r="AH345" t="s">
        <v>2</v>
      </c>
      <c r="AI345">
        <v>1.471603887518E-3</v>
      </c>
      <c r="AJ345">
        <v>1.6030034191799999E-3</v>
      </c>
      <c r="AK345" s="57">
        <v>0.746</v>
      </c>
      <c r="AL345">
        <v>-3.9732799428849998E-3</v>
      </c>
      <c r="AM345">
        <v>6.9164877177209996E-3</v>
      </c>
    </row>
    <row r="346" spans="31:39">
      <c r="AE346" t="s">
        <v>124</v>
      </c>
      <c r="AF346" t="s">
        <v>182</v>
      </c>
      <c r="AG346" t="s">
        <v>3</v>
      </c>
      <c r="AH346" t="s">
        <v>2</v>
      </c>
      <c r="AI346">
        <v>-2.3718624382354999E-2</v>
      </c>
      <c r="AJ346">
        <v>2.328185924419E-2</v>
      </c>
      <c r="AK346" s="57">
        <v>0.57999999999999996</v>
      </c>
      <c r="AL346">
        <v>-8.5831450577841001E-2</v>
      </c>
      <c r="AM346">
        <v>3.8394201813331003E-2</v>
      </c>
    </row>
    <row r="347" spans="31:39">
      <c r="AH347" t="s">
        <v>1</v>
      </c>
      <c r="AI347">
        <v>-3.5264507054708003E-2</v>
      </c>
      <c r="AJ347">
        <v>2.328185924419E-2</v>
      </c>
      <c r="AK347" s="57">
        <v>0.31900000000000001</v>
      </c>
      <c r="AL347">
        <v>-9.7377333250195E-2</v>
      </c>
      <c r="AM347">
        <v>2.6848319140977999E-2</v>
      </c>
    </row>
    <row r="348" spans="31:39">
      <c r="AG348" t="s">
        <v>2</v>
      </c>
      <c r="AH348" t="s">
        <v>3</v>
      </c>
      <c r="AI348">
        <v>2.3718624382354999E-2</v>
      </c>
      <c r="AJ348">
        <v>2.328185924419E-2</v>
      </c>
      <c r="AK348" s="57">
        <v>0.57999999999999996</v>
      </c>
      <c r="AL348">
        <v>-3.8394201813331003E-2</v>
      </c>
      <c r="AM348">
        <v>8.5831450577841001E-2</v>
      </c>
    </row>
    <row r="349" spans="31:39">
      <c r="AH349" t="s">
        <v>1</v>
      </c>
      <c r="AI349">
        <v>-1.1545882672454001E-2</v>
      </c>
      <c r="AJ349">
        <v>2.328185924419E-2</v>
      </c>
      <c r="AK349" s="57">
        <v>0.875</v>
      </c>
      <c r="AL349">
        <v>-7.3658708867940001E-2</v>
      </c>
      <c r="AM349">
        <v>5.0566943523233002E-2</v>
      </c>
    </row>
    <row r="350" spans="31:39">
      <c r="AG350" t="s">
        <v>1</v>
      </c>
      <c r="AH350" t="s">
        <v>3</v>
      </c>
      <c r="AI350">
        <v>3.5264507054708003E-2</v>
      </c>
      <c r="AJ350">
        <v>2.328185924419E-2</v>
      </c>
      <c r="AK350" s="57">
        <v>0.31900000000000001</v>
      </c>
      <c r="AL350">
        <v>-2.6848319140977999E-2</v>
      </c>
      <c r="AM350">
        <v>9.7377333250195E-2</v>
      </c>
    </row>
    <row r="351" spans="31:39">
      <c r="AH351" t="s">
        <v>2</v>
      </c>
      <c r="AI351">
        <v>1.1545882672454001E-2</v>
      </c>
      <c r="AJ351">
        <v>2.328185924419E-2</v>
      </c>
      <c r="AK351" s="57">
        <v>0.875</v>
      </c>
      <c r="AL351">
        <v>-5.0566943523233002E-2</v>
      </c>
      <c r="AM351">
        <v>7.3658708867940001E-2</v>
      </c>
    </row>
    <row r="352" spans="31:39">
      <c r="AF352" t="s">
        <v>183</v>
      </c>
      <c r="AG352" t="s">
        <v>3</v>
      </c>
      <c r="AH352" t="s">
        <v>2</v>
      </c>
      <c r="AI352">
        <v>-2.3718624382354999E-2</v>
      </c>
      <c r="AJ352">
        <v>2.6293314524004002E-2</v>
      </c>
      <c r="AK352" s="57">
        <v>0.78900000000000003</v>
      </c>
      <c r="AL352">
        <v>-0.112719967626305</v>
      </c>
      <c r="AM352">
        <v>6.5282718861795E-2</v>
      </c>
    </row>
    <row r="353" spans="31:39">
      <c r="AH353" t="s">
        <v>1</v>
      </c>
      <c r="AI353">
        <v>-3.5264507054708003E-2</v>
      </c>
      <c r="AJ353">
        <v>2.6484258912400999E-2</v>
      </c>
      <c r="AK353" s="57">
        <v>0.55200000000000005</v>
      </c>
      <c r="AL353">
        <v>-0.124143083372708</v>
      </c>
      <c r="AM353">
        <v>5.3614069263491E-2</v>
      </c>
    </row>
    <row r="354" spans="31:39">
      <c r="AG354" t="s">
        <v>2</v>
      </c>
      <c r="AH354" t="s">
        <v>3</v>
      </c>
      <c r="AI354">
        <v>2.3718624382354999E-2</v>
      </c>
      <c r="AJ354">
        <v>2.6293314524004002E-2</v>
      </c>
      <c r="AK354" s="57">
        <v>0.78900000000000003</v>
      </c>
      <c r="AL354">
        <v>-6.5282718861795E-2</v>
      </c>
      <c r="AM354">
        <v>0.112719967626305</v>
      </c>
    </row>
    <row r="355" spans="31:39">
      <c r="AH355" t="s">
        <v>1</v>
      </c>
      <c r="AI355">
        <v>-1.1545882672454001E-2</v>
      </c>
      <c r="AJ355">
        <v>1.5276797792769E-2</v>
      </c>
      <c r="AK355" s="57">
        <v>0.85199999999999998</v>
      </c>
      <c r="AL355">
        <v>-5.7468000523416003E-2</v>
      </c>
      <c r="AM355">
        <v>3.4376235178708997E-2</v>
      </c>
    </row>
    <row r="356" spans="31:39">
      <c r="AG356" t="s">
        <v>1</v>
      </c>
      <c r="AH356" t="s">
        <v>3</v>
      </c>
      <c r="AI356">
        <v>3.5264507054708003E-2</v>
      </c>
      <c r="AJ356">
        <v>2.6484258912400999E-2</v>
      </c>
      <c r="AK356" s="57">
        <v>0.55200000000000005</v>
      </c>
      <c r="AL356">
        <v>-5.3614069263491E-2</v>
      </c>
      <c r="AM356">
        <v>0.124143083372708</v>
      </c>
    </row>
    <row r="357" spans="31:39">
      <c r="AH357" t="s">
        <v>2</v>
      </c>
      <c r="AI357">
        <v>1.1545882672454001E-2</v>
      </c>
      <c r="AJ357">
        <v>1.5276797792769E-2</v>
      </c>
      <c r="AK357" s="57">
        <v>0.85199999999999998</v>
      </c>
      <c r="AL357">
        <v>-3.4376235178708997E-2</v>
      </c>
      <c r="AM357">
        <v>5.7468000523416003E-2</v>
      </c>
    </row>
    <row r="358" spans="31:39">
      <c r="AF358" t="s">
        <v>184</v>
      </c>
      <c r="AG358" t="s">
        <v>3</v>
      </c>
      <c r="AH358" t="s">
        <v>2</v>
      </c>
      <c r="AI358">
        <v>-2.3718624382354999E-2</v>
      </c>
      <c r="AJ358">
        <v>2.6293314524004002E-2</v>
      </c>
      <c r="AK358" s="57">
        <v>0.754</v>
      </c>
      <c r="AL358">
        <v>-0.11015111933799</v>
      </c>
      <c r="AM358">
        <v>6.2713870573480004E-2</v>
      </c>
    </row>
    <row r="359" spans="31:39">
      <c r="AH359" t="s">
        <v>1</v>
      </c>
      <c r="AI359">
        <v>-3.5264507054708003E-2</v>
      </c>
      <c r="AJ359">
        <v>2.6484258912400999E-2</v>
      </c>
      <c r="AK359" s="57">
        <v>0.50900000000000001</v>
      </c>
      <c r="AL359">
        <v>-0.121672381120653</v>
      </c>
      <c r="AM359">
        <v>5.1143367011436E-2</v>
      </c>
    </row>
    <row r="360" spans="31:39">
      <c r="AG360" t="s">
        <v>2</v>
      </c>
      <c r="AH360" t="s">
        <v>3</v>
      </c>
      <c r="AI360">
        <v>2.3718624382354999E-2</v>
      </c>
      <c r="AJ360">
        <v>2.6293314524004002E-2</v>
      </c>
      <c r="AK360" s="57">
        <v>0.754</v>
      </c>
      <c r="AL360">
        <v>-6.2713870573480004E-2</v>
      </c>
      <c r="AM360">
        <v>0.11015111933799</v>
      </c>
    </row>
    <row r="361" spans="31:39">
      <c r="AH361" t="s">
        <v>1</v>
      </c>
      <c r="AI361">
        <v>-1.1545882672454001E-2</v>
      </c>
      <c r="AJ361">
        <v>1.5276797792769E-2</v>
      </c>
      <c r="AK361" s="57">
        <v>0.83299999999999996</v>
      </c>
      <c r="AL361">
        <v>-5.6753785102453998E-2</v>
      </c>
      <c r="AM361">
        <v>3.3662019757745999E-2</v>
      </c>
    </row>
    <row r="362" spans="31:39">
      <c r="AG362" t="s">
        <v>1</v>
      </c>
      <c r="AH362" t="s">
        <v>3</v>
      </c>
      <c r="AI362">
        <v>3.5264507054708003E-2</v>
      </c>
      <c r="AJ362">
        <v>2.6484258912400999E-2</v>
      </c>
      <c r="AK362" s="57">
        <v>0.50900000000000001</v>
      </c>
      <c r="AL362">
        <v>-5.1143367011436E-2</v>
      </c>
      <c r="AM362">
        <v>0.121672381120653</v>
      </c>
    </row>
    <row r="363" spans="31:39">
      <c r="AH363" t="s">
        <v>2</v>
      </c>
      <c r="AI363">
        <v>1.1545882672454001E-2</v>
      </c>
      <c r="AJ363">
        <v>1.5276797792769E-2</v>
      </c>
      <c r="AK363" s="57">
        <v>0.83299999999999996</v>
      </c>
      <c r="AL363">
        <v>-3.3662019757745999E-2</v>
      </c>
      <c r="AM363">
        <v>5.6753785102453998E-2</v>
      </c>
    </row>
    <row r="364" spans="31:39">
      <c r="AE364" t="s">
        <v>125</v>
      </c>
      <c r="AF364" t="s">
        <v>182</v>
      </c>
      <c r="AG364" t="s">
        <v>3</v>
      </c>
      <c r="AH364" t="s">
        <v>2</v>
      </c>
      <c r="AI364">
        <v>0.175476925604442</v>
      </c>
      <c r="AJ364">
        <v>0.100045811233708</v>
      </c>
      <c r="AK364" s="57">
        <v>0.22600000000000001</v>
      </c>
      <c r="AL364">
        <v>-9.1431658439232996E-2</v>
      </c>
      <c r="AM364">
        <v>0.44238550964791801</v>
      </c>
    </row>
    <row r="365" spans="31:39">
      <c r="AH365" t="s">
        <v>1</v>
      </c>
      <c r="AI365">
        <v>0.25215513285374702</v>
      </c>
      <c r="AJ365">
        <v>0.100045811233708</v>
      </c>
      <c r="AK365" s="57">
        <v>6.5000000000000002E-2</v>
      </c>
      <c r="AL365">
        <v>-1.4753451189929E-2</v>
      </c>
      <c r="AM365">
        <v>0.51906371689722297</v>
      </c>
    </row>
    <row r="366" spans="31:39">
      <c r="AG366" t="s">
        <v>2</v>
      </c>
      <c r="AH366" t="s">
        <v>3</v>
      </c>
      <c r="AI366">
        <v>-0.175476925604442</v>
      </c>
      <c r="AJ366">
        <v>0.100045811233708</v>
      </c>
      <c r="AK366" s="57">
        <v>0.22600000000000001</v>
      </c>
      <c r="AL366">
        <v>-0.44238550964791801</v>
      </c>
      <c r="AM366">
        <v>9.1431658439232996E-2</v>
      </c>
    </row>
    <row r="367" spans="31:39">
      <c r="AH367" t="s">
        <v>1</v>
      </c>
      <c r="AI367">
        <v>7.6678207249404995E-2</v>
      </c>
      <c r="AJ367">
        <v>0.100045811233708</v>
      </c>
      <c r="AK367" s="57">
        <v>0.73</v>
      </c>
      <c r="AL367">
        <v>-0.19023037679427099</v>
      </c>
      <c r="AM367">
        <v>0.343586791292881</v>
      </c>
    </row>
    <row r="368" spans="31:39">
      <c r="AG368" t="s">
        <v>1</v>
      </c>
      <c r="AH368" t="s">
        <v>3</v>
      </c>
      <c r="AI368">
        <v>-0.25215513285374702</v>
      </c>
      <c r="AJ368">
        <v>0.100045811233708</v>
      </c>
      <c r="AK368" s="57">
        <v>6.5000000000000002E-2</v>
      </c>
      <c r="AL368">
        <v>-0.51906371689722297</v>
      </c>
      <c r="AM368">
        <v>1.4753451189929E-2</v>
      </c>
    </row>
    <row r="369" spans="31:39">
      <c r="AH369" t="s">
        <v>2</v>
      </c>
      <c r="AI369">
        <v>-7.6678207249404995E-2</v>
      </c>
      <c r="AJ369">
        <v>0.100045811233708</v>
      </c>
      <c r="AK369" s="57">
        <v>0.73</v>
      </c>
      <c r="AL369">
        <v>-0.343586791292881</v>
      </c>
      <c r="AM369">
        <v>0.19023037679427099</v>
      </c>
    </row>
    <row r="370" spans="31:39">
      <c r="AF370" t="s">
        <v>183</v>
      </c>
      <c r="AG370" t="s">
        <v>3</v>
      </c>
      <c r="AH370" t="s">
        <v>2</v>
      </c>
      <c r="AI370">
        <v>0.175476925604442</v>
      </c>
      <c r="AJ370">
        <v>0.11016620020854601</v>
      </c>
      <c r="AK370" s="57">
        <v>0.45300000000000001</v>
      </c>
      <c r="AL370">
        <v>-0.24360191782364801</v>
      </c>
      <c r="AM370">
        <v>0.59455576903233298</v>
      </c>
    </row>
    <row r="371" spans="31:39">
      <c r="AH371" t="s">
        <v>1</v>
      </c>
      <c r="AI371">
        <v>0.25215513285374702</v>
      </c>
      <c r="AJ371">
        <v>0.120961655877354</v>
      </c>
      <c r="AK371" s="57">
        <v>0.23</v>
      </c>
      <c r="AL371">
        <v>-0.14752340801163499</v>
      </c>
      <c r="AM371">
        <v>0.65183367371892997</v>
      </c>
    </row>
    <row r="372" spans="31:39">
      <c r="AG372" t="s">
        <v>2</v>
      </c>
      <c r="AH372" t="s">
        <v>3</v>
      </c>
      <c r="AI372">
        <v>-0.175476925604442</v>
      </c>
      <c r="AJ372">
        <v>0.11016620020854601</v>
      </c>
      <c r="AK372" s="57">
        <v>0.45300000000000001</v>
      </c>
      <c r="AL372">
        <v>-0.59455576903233298</v>
      </c>
      <c r="AM372">
        <v>0.24360191782364801</v>
      </c>
    </row>
    <row r="373" spans="31:39">
      <c r="AH373" t="s">
        <v>1</v>
      </c>
      <c r="AI373">
        <v>7.6678207249404995E-2</v>
      </c>
      <c r="AJ373">
        <v>5.7089221182714998E-2</v>
      </c>
      <c r="AK373" s="57">
        <v>0.55500000000000005</v>
      </c>
      <c r="AL373">
        <v>-0.123403971723672</v>
      </c>
      <c r="AM373">
        <v>0.276760386222282</v>
      </c>
    </row>
    <row r="374" spans="31:39">
      <c r="AG374" t="s">
        <v>1</v>
      </c>
      <c r="AH374" t="s">
        <v>3</v>
      </c>
      <c r="AI374">
        <v>-0.25215513285374702</v>
      </c>
      <c r="AJ374">
        <v>0.120961655877354</v>
      </c>
      <c r="AK374" s="57">
        <v>0.23</v>
      </c>
      <c r="AL374">
        <v>-0.65183367371892997</v>
      </c>
      <c r="AM374">
        <v>0.14752340801163499</v>
      </c>
    </row>
    <row r="375" spans="31:39">
      <c r="AH375" t="s">
        <v>2</v>
      </c>
      <c r="AI375">
        <v>-7.6678207249404995E-2</v>
      </c>
      <c r="AJ375">
        <v>5.7089221182714998E-2</v>
      </c>
      <c r="AK375" s="57">
        <v>0.55500000000000005</v>
      </c>
      <c r="AL375">
        <v>-0.276760386222282</v>
      </c>
      <c r="AM375">
        <v>0.123403971723672</v>
      </c>
    </row>
    <row r="376" spans="31:39">
      <c r="AF376" t="s">
        <v>184</v>
      </c>
      <c r="AG376" t="s">
        <v>3</v>
      </c>
      <c r="AH376" t="s">
        <v>2</v>
      </c>
      <c r="AI376">
        <v>0.175476925604442</v>
      </c>
      <c r="AJ376">
        <v>0.11016620020854601</v>
      </c>
      <c r="AK376" s="57">
        <v>0.40200000000000002</v>
      </c>
      <c r="AL376">
        <v>-0.22492475361954201</v>
      </c>
      <c r="AM376">
        <v>0.57587860482822695</v>
      </c>
    </row>
    <row r="377" spans="31:39">
      <c r="AH377" t="s">
        <v>1</v>
      </c>
      <c r="AI377">
        <v>0.25215513285374702</v>
      </c>
      <c r="AJ377">
        <v>0.120961655877354</v>
      </c>
      <c r="AK377" s="57">
        <v>0.20699999999999999</v>
      </c>
      <c r="AL377">
        <v>-0.13716530070781299</v>
      </c>
      <c r="AM377">
        <v>0.64147556641510695</v>
      </c>
    </row>
    <row r="378" spans="31:39">
      <c r="AG378" t="s">
        <v>2</v>
      </c>
      <c r="AH378" t="s">
        <v>3</v>
      </c>
      <c r="AI378">
        <v>-0.175476925604442</v>
      </c>
      <c r="AJ378">
        <v>0.11016620020854601</v>
      </c>
      <c r="AK378" s="57">
        <v>0.40200000000000002</v>
      </c>
      <c r="AL378">
        <v>-0.57587860482822695</v>
      </c>
      <c r="AM378">
        <v>0.22492475361954201</v>
      </c>
    </row>
    <row r="379" spans="31:39">
      <c r="AH379" t="s">
        <v>1</v>
      </c>
      <c r="AI379">
        <v>7.6678207249404995E-2</v>
      </c>
      <c r="AJ379">
        <v>5.7089221182714998E-2</v>
      </c>
      <c r="AK379" s="57">
        <v>0.50800000000000001</v>
      </c>
      <c r="AL379">
        <v>-0.116741325438232</v>
      </c>
      <c r="AM379">
        <v>0.270097739936842</v>
      </c>
    </row>
    <row r="380" spans="31:39">
      <c r="AG380" t="s">
        <v>1</v>
      </c>
      <c r="AH380" t="s">
        <v>3</v>
      </c>
      <c r="AI380">
        <v>-0.25215513285374702</v>
      </c>
      <c r="AJ380">
        <v>0.120961655877354</v>
      </c>
      <c r="AK380" s="57">
        <v>0.20699999999999999</v>
      </c>
      <c r="AL380">
        <v>-0.64147556641510695</v>
      </c>
      <c r="AM380">
        <v>0.13716530070781299</v>
      </c>
    </row>
    <row r="381" spans="31:39">
      <c r="AH381" t="s">
        <v>2</v>
      </c>
      <c r="AI381">
        <v>-7.6678207249404995E-2</v>
      </c>
      <c r="AJ381">
        <v>5.7089221182714998E-2</v>
      </c>
      <c r="AK381" s="57">
        <v>0.50800000000000001</v>
      </c>
      <c r="AL381">
        <v>-0.270097739936842</v>
      </c>
      <c r="AM381">
        <v>0.116741325438232</v>
      </c>
    </row>
    <row r="382" spans="31:39">
      <c r="AE382" t="s">
        <v>126</v>
      </c>
      <c r="AF382" t="s">
        <v>182</v>
      </c>
      <c r="AG382" t="s">
        <v>3</v>
      </c>
      <c r="AH382" t="s">
        <v>2</v>
      </c>
      <c r="AI382">
        <v>0.118644472656105</v>
      </c>
      <c r="AJ382">
        <v>9.8815637121673003E-2</v>
      </c>
      <c r="AK382" s="57">
        <v>0.47499999999999998</v>
      </c>
      <c r="AL382">
        <v>-0.14498217457960499</v>
      </c>
      <c r="AM382">
        <v>0.382271119891616</v>
      </c>
    </row>
    <row r="383" spans="31:39">
      <c r="AH383" t="s">
        <v>1</v>
      </c>
      <c r="AI383">
        <v>6.270997745834E-3</v>
      </c>
      <c r="AJ383">
        <v>9.8815637121673003E-2</v>
      </c>
      <c r="AK383" s="57">
        <v>0.998</v>
      </c>
      <c r="AL383">
        <v>-0.25735564948987699</v>
      </c>
      <c r="AM383">
        <v>0.269897644981345</v>
      </c>
    </row>
    <row r="384" spans="31:39">
      <c r="AG384" t="s">
        <v>2</v>
      </c>
      <c r="AH384" t="s">
        <v>3</v>
      </c>
      <c r="AI384">
        <v>-0.118644472656105</v>
      </c>
      <c r="AJ384">
        <v>9.8815637121673003E-2</v>
      </c>
      <c r="AK384" s="57">
        <v>0.47499999999999998</v>
      </c>
      <c r="AL384">
        <v>-0.382271119891616</v>
      </c>
      <c r="AM384">
        <v>0.14498217457960499</v>
      </c>
    </row>
    <row r="385" spans="31:39">
      <c r="AH385" t="s">
        <v>1</v>
      </c>
      <c r="AI385">
        <v>-0.112373474910372</v>
      </c>
      <c r="AJ385">
        <v>9.8815637121673003E-2</v>
      </c>
      <c r="AK385" s="57">
        <v>0.51100000000000001</v>
      </c>
      <c r="AL385">
        <v>-0.37600012214588302</v>
      </c>
      <c r="AM385">
        <v>0.151253172325339</v>
      </c>
    </row>
    <row r="386" spans="31:39">
      <c r="AG386" t="s">
        <v>1</v>
      </c>
      <c r="AH386" t="s">
        <v>3</v>
      </c>
      <c r="AI386">
        <v>-6.270997745834E-3</v>
      </c>
      <c r="AJ386">
        <v>9.8815637121673003E-2</v>
      </c>
      <c r="AK386" s="57">
        <v>0.998</v>
      </c>
      <c r="AL386">
        <v>-0.269897644981345</v>
      </c>
      <c r="AM386">
        <v>0.25735564948987699</v>
      </c>
    </row>
    <row r="387" spans="31:39">
      <c r="AH387" t="s">
        <v>2</v>
      </c>
      <c r="AI387">
        <v>0.112373474910372</v>
      </c>
      <c r="AJ387">
        <v>9.8815637121673003E-2</v>
      </c>
      <c r="AK387" s="57">
        <v>0.51100000000000001</v>
      </c>
      <c r="AL387">
        <v>-0.151253172325339</v>
      </c>
      <c r="AM387">
        <v>0.37600012214588302</v>
      </c>
    </row>
    <row r="388" spans="31:39">
      <c r="AF388" t="s">
        <v>183</v>
      </c>
      <c r="AG388" t="s">
        <v>3</v>
      </c>
      <c r="AH388" t="s">
        <v>2</v>
      </c>
      <c r="AI388">
        <v>0.118644472656105</v>
      </c>
      <c r="AJ388">
        <v>9.7512781485442998E-2</v>
      </c>
      <c r="AK388" s="57">
        <v>0.622</v>
      </c>
      <c r="AL388">
        <v>-0.22148469615010699</v>
      </c>
      <c r="AM388">
        <v>0.45877364146211802</v>
      </c>
    </row>
    <row r="389" spans="31:39">
      <c r="AH389" t="s">
        <v>1</v>
      </c>
      <c r="AI389">
        <v>6.270997745834E-3</v>
      </c>
      <c r="AJ389">
        <v>0.116094113119866</v>
      </c>
      <c r="AK389" s="57">
        <v>1</v>
      </c>
      <c r="AL389">
        <v>-0.34753531845282698</v>
      </c>
      <c r="AM389">
        <v>0.36007731394429499</v>
      </c>
    </row>
    <row r="390" spans="31:39">
      <c r="AG390" t="s">
        <v>2</v>
      </c>
      <c r="AH390" t="s">
        <v>3</v>
      </c>
      <c r="AI390">
        <v>-0.118644472656105</v>
      </c>
      <c r="AJ390">
        <v>9.7512781485442998E-2</v>
      </c>
      <c r="AK390" s="57">
        <v>0.622</v>
      </c>
      <c r="AL390">
        <v>-0.45877364146211802</v>
      </c>
      <c r="AM390">
        <v>0.22148469615010699</v>
      </c>
    </row>
    <row r="391" spans="31:39">
      <c r="AH391" t="s">
        <v>1</v>
      </c>
      <c r="AI391">
        <v>-0.112373474910372</v>
      </c>
      <c r="AJ391">
        <v>7.9416652946150995E-2</v>
      </c>
      <c r="AK391" s="57">
        <v>0.505</v>
      </c>
      <c r="AL391">
        <v>-0.37673950025188102</v>
      </c>
      <c r="AM391">
        <v>0.151992550431338</v>
      </c>
    </row>
    <row r="392" spans="31:39">
      <c r="AG392" t="s">
        <v>1</v>
      </c>
      <c r="AH392" t="s">
        <v>3</v>
      </c>
      <c r="AI392">
        <v>-6.270997745834E-3</v>
      </c>
      <c r="AJ392">
        <v>0.116094113119866</v>
      </c>
      <c r="AK392" s="57">
        <v>1</v>
      </c>
      <c r="AL392">
        <v>-0.36007731394429499</v>
      </c>
      <c r="AM392">
        <v>0.34753531845282698</v>
      </c>
    </row>
    <row r="393" spans="31:39">
      <c r="AH393" t="s">
        <v>2</v>
      </c>
      <c r="AI393">
        <v>0.112373474910372</v>
      </c>
      <c r="AJ393">
        <v>7.9416652946150995E-2</v>
      </c>
      <c r="AK393" s="57">
        <v>0.505</v>
      </c>
      <c r="AL393">
        <v>-0.151992550431338</v>
      </c>
      <c r="AM393">
        <v>0.37673950025188102</v>
      </c>
    </row>
    <row r="394" spans="31:39">
      <c r="AF394" t="s">
        <v>184</v>
      </c>
      <c r="AG394" t="s">
        <v>3</v>
      </c>
      <c r="AH394" t="s">
        <v>2</v>
      </c>
      <c r="AI394">
        <v>0.118644472656105</v>
      </c>
      <c r="AJ394">
        <v>9.7512781485442998E-2</v>
      </c>
      <c r="AK394" s="57">
        <v>0.57599999999999996</v>
      </c>
      <c r="AL394">
        <v>-0.21036996890218701</v>
      </c>
      <c r="AM394">
        <v>0.44765891421419801</v>
      </c>
    </row>
    <row r="395" spans="31:39">
      <c r="AH395" t="s">
        <v>1</v>
      </c>
      <c r="AI395">
        <v>6.270997745834E-3</v>
      </c>
      <c r="AJ395">
        <v>0.116094113119866</v>
      </c>
      <c r="AK395" s="57">
        <v>1</v>
      </c>
      <c r="AL395">
        <v>-0.34154425736420901</v>
      </c>
      <c r="AM395">
        <v>0.35408625285567602</v>
      </c>
    </row>
    <row r="396" spans="31:39">
      <c r="AG396" t="s">
        <v>2</v>
      </c>
      <c r="AH396" t="s">
        <v>3</v>
      </c>
      <c r="AI396">
        <v>-0.118644472656105</v>
      </c>
      <c r="AJ396">
        <v>9.7512781485442998E-2</v>
      </c>
      <c r="AK396" s="57">
        <v>0.57599999999999996</v>
      </c>
      <c r="AL396">
        <v>-0.44765891421419801</v>
      </c>
      <c r="AM396">
        <v>0.21036996890218701</v>
      </c>
    </row>
    <row r="397" spans="31:39">
      <c r="AH397" t="s">
        <v>1</v>
      </c>
      <c r="AI397">
        <v>-0.112373474910372</v>
      </c>
      <c r="AJ397">
        <v>7.9416652946150995E-2</v>
      </c>
      <c r="AK397" s="57">
        <v>0.46500000000000002</v>
      </c>
      <c r="AL397">
        <v>-0.36965137517344698</v>
      </c>
      <c r="AM397">
        <v>0.14490442535290399</v>
      </c>
    </row>
    <row r="398" spans="31:39">
      <c r="AG398" t="s">
        <v>1</v>
      </c>
      <c r="AH398" t="s">
        <v>3</v>
      </c>
      <c r="AI398">
        <v>-6.270997745834E-3</v>
      </c>
      <c r="AJ398">
        <v>0.116094113119866</v>
      </c>
      <c r="AK398" s="57">
        <v>1</v>
      </c>
      <c r="AL398">
        <v>-0.35408625285567602</v>
      </c>
      <c r="AM398">
        <v>0.34154425736420901</v>
      </c>
    </row>
    <row r="399" spans="31:39">
      <c r="AH399" t="s">
        <v>2</v>
      </c>
      <c r="AI399">
        <v>0.112373474910372</v>
      </c>
      <c r="AJ399">
        <v>7.9416652946150995E-2</v>
      </c>
      <c r="AK399" s="57">
        <v>0.46500000000000002</v>
      </c>
      <c r="AL399">
        <v>-0.14490442535290399</v>
      </c>
      <c r="AM399">
        <v>0.36965137517344698</v>
      </c>
    </row>
    <row r="400" spans="31:39">
      <c r="AE400" t="s">
        <v>127</v>
      </c>
      <c r="AF400" t="s">
        <v>182</v>
      </c>
      <c r="AG400" t="s">
        <v>3</v>
      </c>
      <c r="AH400" t="s">
        <v>2</v>
      </c>
      <c r="AI400" t="s">
        <v>205</v>
      </c>
      <c r="AJ400">
        <v>2.1640344319514001E-2</v>
      </c>
      <c r="AK400" s="57">
        <v>0</v>
      </c>
      <c r="AL400">
        <v>-0.19489952617572601</v>
      </c>
      <c r="AM400">
        <v>-7.9432549811848996E-2</v>
      </c>
    </row>
    <row r="401" spans="32:39">
      <c r="AH401" t="s">
        <v>1</v>
      </c>
      <c r="AI401" t="s">
        <v>206</v>
      </c>
      <c r="AJ401">
        <v>2.1640344319514001E-2</v>
      </c>
      <c r="AK401" s="57">
        <v>0</v>
      </c>
      <c r="AL401">
        <v>-0.17681636925410399</v>
      </c>
      <c r="AM401">
        <v>-6.1349392890226999E-2</v>
      </c>
    </row>
    <row r="402" spans="32:39">
      <c r="AG402" t="s">
        <v>2</v>
      </c>
      <c r="AH402" t="s">
        <v>3</v>
      </c>
      <c r="AI402" t="s">
        <v>207</v>
      </c>
      <c r="AJ402">
        <v>2.1640344319514001E-2</v>
      </c>
      <c r="AK402" s="57">
        <v>0</v>
      </c>
      <c r="AL402">
        <v>7.9432549811848996E-2</v>
      </c>
      <c r="AM402">
        <v>0.19489952617572601</v>
      </c>
    </row>
    <row r="403" spans="32:39">
      <c r="AH403" t="s">
        <v>1</v>
      </c>
      <c r="AI403">
        <v>1.8083156921722E-2</v>
      </c>
      <c r="AJ403">
        <v>2.1640344319514001E-2</v>
      </c>
      <c r="AK403" s="57">
        <v>0.68899999999999995</v>
      </c>
      <c r="AL403">
        <v>-3.9650331260415998E-2</v>
      </c>
      <c r="AM403">
        <v>7.5816645103660998E-2</v>
      </c>
    </row>
    <row r="404" spans="32:39">
      <c r="AG404" t="s">
        <v>1</v>
      </c>
      <c r="AH404" t="s">
        <v>3</v>
      </c>
      <c r="AI404" t="s">
        <v>208</v>
      </c>
      <c r="AJ404">
        <v>2.1640344319514001E-2</v>
      </c>
      <c r="AK404" s="57">
        <v>0</v>
      </c>
      <c r="AL404">
        <v>6.1349392890226999E-2</v>
      </c>
      <c r="AM404">
        <v>0.17681636925410399</v>
      </c>
    </row>
    <row r="405" spans="32:39">
      <c r="AH405" t="s">
        <v>2</v>
      </c>
      <c r="AI405">
        <v>-1.8083156921722E-2</v>
      </c>
      <c r="AJ405">
        <v>2.1640344319514001E-2</v>
      </c>
      <c r="AK405" s="57">
        <v>0.68899999999999995</v>
      </c>
      <c r="AL405">
        <v>-7.5816645103660998E-2</v>
      </c>
      <c r="AM405">
        <v>3.9650331260415998E-2</v>
      </c>
    </row>
    <row r="406" spans="32:39">
      <c r="AF406" t="s">
        <v>183</v>
      </c>
      <c r="AG406" t="s">
        <v>3</v>
      </c>
      <c r="AH406" t="s">
        <v>2</v>
      </c>
      <c r="AI406" t="s">
        <v>205</v>
      </c>
      <c r="AJ406">
        <v>2.1689886013490998E-2</v>
      </c>
      <c r="AK406" s="57">
        <v>0.01</v>
      </c>
      <c r="AL406">
        <v>-0.22263539858922601</v>
      </c>
      <c r="AM406">
        <v>-5.1696677398349003E-2</v>
      </c>
    </row>
    <row r="407" spans="32:39">
      <c r="AH407" t="s">
        <v>1</v>
      </c>
      <c r="AI407" t="s">
        <v>206</v>
      </c>
      <c r="AJ407">
        <v>1.5231729978019999E-2</v>
      </c>
      <c r="AK407" s="57">
        <v>4.0000000000000001E-3</v>
      </c>
      <c r="AL407">
        <v>-0.179103769202764</v>
      </c>
      <c r="AM407">
        <v>-5.9061992941566999E-2</v>
      </c>
    </row>
    <row r="408" spans="32:39">
      <c r="AG408" t="s">
        <v>2</v>
      </c>
      <c r="AH408" t="s">
        <v>3</v>
      </c>
      <c r="AI408" t="s">
        <v>207</v>
      </c>
      <c r="AJ408">
        <v>2.1689886013490998E-2</v>
      </c>
      <c r="AK408" s="57">
        <v>0.01</v>
      </c>
      <c r="AL408">
        <v>5.1696677398349003E-2</v>
      </c>
      <c r="AM408">
        <v>0.22263539858922601</v>
      </c>
    </row>
    <row r="409" spans="32:39">
      <c r="AH409" t="s">
        <v>1</v>
      </c>
      <c r="AI409">
        <v>1.8083156921722E-2</v>
      </c>
      <c r="AJ409">
        <v>2.6503900720449999E-2</v>
      </c>
      <c r="AK409" s="57">
        <v>0.88700000000000001</v>
      </c>
      <c r="AL409">
        <v>-6.3905348222085004E-2</v>
      </c>
      <c r="AM409">
        <v>0.100071662065329</v>
      </c>
    </row>
    <row r="410" spans="32:39">
      <c r="AG410" t="s">
        <v>1</v>
      </c>
      <c r="AH410" t="s">
        <v>3</v>
      </c>
      <c r="AI410" t="s">
        <v>208</v>
      </c>
      <c r="AJ410">
        <v>1.5231729978019999E-2</v>
      </c>
      <c r="AK410" s="57">
        <v>4.0000000000000001E-3</v>
      </c>
      <c r="AL410">
        <v>5.9061992941566999E-2</v>
      </c>
      <c r="AM410">
        <v>0.179103769202764</v>
      </c>
    </row>
    <row r="411" spans="32:39">
      <c r="AH411" t="s">
        <v>2</v>
      </c>
      <c r="AI411">
        <v>-1.8083156921722E-2</v>
      </c>
      <c r="AJ411">
        <v>2.6503900720449999E-2</v>
      </c>
      <c r="AK411" s="57">
        <v>0.88700000000000001</v>
      </c>
      <c r="AL411">
        <v>-0.100071662065329</v>
      </c>
      <c r="AM411">
        <v>6.3905348222085004E-2</v>
      </c>
    </row>
    <row r="412" spans="32:39">
      <c r="AF412" t="s">
        <v>184</v>
      </c>
      <c r="AG412" t="s">
        <v>3</v>
      </c>
      <c r="AH412" t="s">
        <v>2</v>
      </c>
      <c r="AI412" t="s">
        <v>205</v>
      </c>
      <c r="AJ412">
        <v>2.1689886013490998E-2</v>
      </c>
      <c r="AK412" s="57">
        <v>8.0000000000000002E-3</v>
      </c>
      <c r="AL412">
        <v>-0.21838548638240901</v>
      </c>
      <c r="AM412">
        <v>-5.5946589605165999E-2</v>
      </c>
    </row>
    <row r="413" spans="32:39">
      <c r="AH413" t="s">
        <v>1</v>
      </c>
      <c r="AI413" t="s">
        <v>206</v>
      </c>
      <c r="AJ413">
        <v>1.5231729978019999E-2</v>
      </c>
      <c r="AK413" s="57">
        <v>4.0000000000000001E-3</v>
      </c>
      <c r="AL413">
        <v>-0.17611926688107599</v>
      </c>
      <c r="AM413">
        <v>-6.2046495263254002E-2</v>
      </c>
    </row>
    <row r="414" spans="32:39">
      <c r="AG414" t="s">
        <v>2</v>
      </c>
      <c r="AH414" t="s">
        <v>3</v>
      </c>
      <c r="AI414" t="s">
        <v>207</v>
      </c>
      <c r="AJ414">
        <v>2.1689886013490998E-2</v>
      </c>
      <c r="AK414" s="57">
        <v>8.0000000000000002E-3</v>
      </c>
      <c r="AL414">
        <v>5.5946589605165999E-2</v>
      </c>
      <c r="AM414">
        <v>0.21838548638240901</v>
      </c>
    </row>
    <row r="415" spans="32:39">
      <c r="AH415" t="s">
        <v>1</v>
      </c>
      <c r="AI415">
        <v>1.8083156921722E-2</v>
      </c>
      <c r="AJ415">
        <v>2.6503900720449999E-2</v>
      </c>
      <c r="AK415" s="57">
        <v>0.86899999999999999</v>
      </c>
      <c r="AL415">
        <v>-6.2389825736378003E-2</v>
      </c>
      <c r="AM415">
        <v>9.8556139579622004E-2</v>
      </c>
    </row>
    <row r="416" spans="32:39">
      <c r="AG416" t="s">
        <v>1</v>
      </c>
      <c r="AH416" t="s">
        <v>3</v>
      </c>
      <c r="AI416" t="s">
        <v>208</v>
      </c>
      <c r="AJ416">
        <v>1.5231729978019999E-2</v>
      </c>
      <c r="AK416" s="57">
        <v>4.0000000000000001E-3</v>
      </c>
      <c r="AL416">
        <v>6.2046495263254002E-2</v>
      </c>
      <c r="AM416">
        <v>0.17611926688107599</v>
      </c>
    </row>
    <row r="417" spans="31:39">
      <c r="AH417" t="s">
        <v>2</v>
      </c>
      <c r="AI417">
        <v>-1.8083156921722E-2</v>
      </c>
      <c r="AJ417">
        <v>2.6503900720449999E-2</v>
      </c>
      <c r="AK417" s="57">
        <v>0.86899999999999999</v>
      </c>
      <c r="AL417">
        <v>-9.8556139579622004E-2</v>
      </c>
      <c r="AM417">
        <v>6.2389825736378003E-2</v>
      </c>
    </row>
    <row r="418" spans="31:39">
      <c r="AE418" t="s">
        <v>128</v>
      </c>
      <c r="AF418" t="s">
        <v>182</v>
      </c>
      <c r="AG418" t="s">
        <v>3</v>
      </c>
      <c r="AH418" t="s">
        <v>2</v>
      </c>
      <c r="AI418">
        <v>0</v>
      </c>
      <c r="AJ418">
        <v>5.3285142142459998E-3</v>
      </c>
      <c r="AK418" s="57">
        <v>1</v>
      </c>
      <c r="AL418">
        <v>-1.4215749429452E-2</v>
      </c>
      <c r="AM418">
        <v>1.4215749429452E-2</v>
      </c>
    </row>
    <row r="419" spans="31:39">
      <c r="AH419" t="s">
        <v>1</v>
      </c>
      <c r="AI419" t="s">
        <v>209</v>
      </c>
      <c r="AJ419">
        <v>5.3285142142459998E-3</v>
      </c>
      <c r="AK419" s="57">
        <v>0</v>
      </c>
      <c r="AL419">
        <v>-0.13693029752701599</v>
      </c>
      <c r="AM419">
        <v>-0.108498798668313</v>
      </c>
    </row>
    <row r="420" spans="31:39">
      <c r="AG420" t="s">
        <v>2</v>
      </c>
      <c r="AH420" t="s">
        <v>3</v>
      </c>
      <c r="AI420">
        <v>0</v>
      </c>
      <c r="AJ420">
        <v>5.3285142142459998E-3</v>
      </c>
      <c r="AK420" s="57">
        <v>1</v>
      </c>
      <c r="AL420">
        <v>-1.4215749429452E-2</v>
      </c>
      <c r="AM420">
        <v>1.4215749429452E-2</v>
      </c>
    </row>
    <row r="421" spans="31:39">
      <c r="AH421" t="s">
        <v>1</v>
      </c>
      <c r="AI421" t="s">
        <v>209</v>
      </c>
      <c r="AJ421">
        <v>5.3285142142459998E-3</v>
      </c>
      <c r="AK421" s="57">
        <v>0</v>
      </c>
      <c r="AL421">
        <v>-0.13693029752701599</v>
      </c>
      <c r="AM421">
        <v>-0.108498798668313</v>
      </c>
    </row>
    <row r="422" spans="31:39">
      <c r="AG422" t="s">
        <v>1</v>
      </c>
      <c r="AH422" t="s">
        <v>3</v>
      </c>
      <c r="AI422" t="s">
        <v>210</v>
      </c>
      <c r="AJ422">
        <v>5.3285142142459998E-3</v>
      </c>
      <c r="AK422" s="57">
        <v>0</v>
      </c>
      <c r="AL422">
        <v>0.108498798668313</v>
      </c>
      <c r="AM422">
        <v>0.13693029752701599</v>
      </c>
    </row>
    <row r="423" spans="31:39">
      <c r="AH423" t="s">
        <v>2</v>
      </c>
      <c r="AI423" t="s">
        <v>210</v>
      </c>
      <c r="AJ423">
        <v>5.3285142142459998E-3</v>
      </c>
      <c r="AK423" s="57">
        <v>0</v>
      </c>
      <c r="AL423">
        <v>0.108498798668313</v>
      </c>
      <c r="AM423">
        <v>0.13693029752701599</v>
      </c>
    </row>
    <row r="424" spans="31:39">
      <c r="AF424" t="s">
        <v>183</v>
      </c>
      <c r="AG424" t="s">
        <v>3</v>
      </c>
      <c r="AH424" t="s">
        <v>2</v>
      </c>
      <c r="AI424">
        <v>0</v>
      </c>
      <c r="AJ424">
        <v>0</v>
      </c>
      <c r="AK424" s="57" t="s">
        <v>211</v>
      </c>
      <c r="AL424">
        <v>0</v>
      </c>
      <c r="AM424">
        <v>0</v>
      </c>
    </row>
    <row r="425" spans="31:39">
      <c r="AH425" t="s">
        <v>1</v>
      </c>
      <c r="AI425" t="s">
        <v>209</v>
      </c>
      <c r="AJ425">
        <v>6.526070456012E-3</v>
      </c>
      <c r="AK425" s="57">
        <v>0</v>
      </c>
      <c r="AL425">
        <v>-0.14843063847837201</v>
      </c>
      <c r="AM425">
        <v>-9.6998457716957004E-2</v>
      </c>
    </row>
    <row r="426" spans="31:39">
      <c r="AG426" t="s">
        <v>2</v>
      </c>
      <c r="AH426" t="s">
        <v>3</v>
      </c>
      <c r="AI426">
        <v>0</v>
      </c>
      <c r="AJ426">
        <v>0</v>
      </c>
      <c r="AK426" s="57" t="s">
        <v>211</v>
      </c>
      <c r="AL426">
        <v>0</v>
      </c>
      <c r="AM426">
        <v>0</v>
      </c>
    </row>
    <row r="427" spans="31:39">
      <c r="AH427" t="s">
        <v>1</v>
      </c>
      <c r="AI427" t="s">
        <v>209</v>
      </c>
      <c r="AJ427">
        <v>6.526070456012E-3</v>
      </c>
      <c r="AK427" s="57">
        <v>0</v>
      </c>
      <c r="AL427">
        <v>-0.14843063847837201</v>
      </c>
      <c r="AM427">
        <v>-9.6998457716957004E-2</v>
      </c>
    </row>
    <row r="428" spans="31:39">
      <c r="AG428" t="s">
        <v>1</v>
      </c>
      <c r="AH428" t="s">
        <v>3</v>
      </c>
      <c r="AI428" t="s">
        <v>210</v>
      </c>
      <c r="AJ428">
        <v>6.526070456012E-3</v>
      </c>
      <c r="AK428" s="57">
        <v>0</v>
      </c>
      <c r="AL428">
        <v>9.6998457716957004E-2</v>
      </c>
      <c r="AM428">
        <v>0.14843063847837201</v>
      </c>
    </row>
    <row r="429" spans="31:39">
      <c r="AH429" t="s">
        <v>2</v>
      </c>
      <c r="AI429" t="s">
        <v>210</v>
      </c>
      <c r="AJ429">
        <v>6.526070456012E-3</v>
      </c>
      <c r="AK429" s="57">
        <v>0</v>
      </c>
      <c r="AL429">
        <v>9.6998457716957004E-2</v>
      </c>
      <c r="AM429">
        <v>0.14843063847837201</v>
      </c>
    </row>
    <row r="430" spans="31:39">
      <c r="AF430" t="s">
        <v>184</v>
      </c>
      <c r="AG430" t="s">
        <v>3</v>
      </c>
      <c r="AH430" t="s">
        <v>2</v>
      </c>
      <c r="AI430">
        <v>0</v>
      </c>
      <c r="AJ430">
        <v>0</v>
      </c>
      <c r="AK430" s="57" t="s">
        <v>211</v>
      </c>
      <c r="AL430">
        <v>0</v>
      </c>
      <c r="AM430">
        <v>0</v>
      </c>
    </row>
    <row r="431" spans="31:39">
      <c r="AH431" t="s">
        <v>1</v>
      </c>
      <c r="AI431" t="s">
        <v>209</v>
      </c>
      <c r="AJ431">
        <v>6.526070456012E-3</v>
      </c>
      <c r="AK431" s="57">
        <v>0</v>
      </c>
      <c r="AL431">
        <v>-0.147151921454409</v>
      </c>
      <c r="AM431">
        <v>-9.8277174740920001E-2</v>
      </c>
    </row>
    <row r="432" spans="31:39">
      <c r="AG432" t="s">
        <v>2</v>
      </c>
      <c r="AH432" t="s">
        <v>3</v>
      </c>
      <c r="AI432">
        <v>0</v>
      </c>
      <c r="AJ432">
        <v>0</v>
      </c>
      <c r="AK432" s="57" t="s">
        <v>211</v>
      </c>
      <c r="AL432">
        <v>0</v>
      </c>
      <c r="AM432">
        <v>0</v>
      </c>
    </row>
    <row r="433" spans="31:39">
      <c r="AH433" t="s">
        <v>1</v>
      </c>
      <c r="AI433" t="s">
        <v>209</v>
      </c>
      <c r="AJ433">
        <v>6.526070456012E-3</v>
      </c>
      <c r="AK433" s="57">
        <v>0</v>
      </c>
      <c r="AL433">
        <v>-0.147151921454409</v>
      </c>
      <c r="AM433">
        <v>-9.8277174740920001E-2</v>
      </c>
    </row>
    <row r="434" spans="31:39">
      <c r="AG434" t="s">
        <v>1</v>
      </c>
      <c r="AH434" t="s">
        <v>3</v>
      </c>
      <c r="AI434" t="s">
        <v>210</v>
      </c>
      <c r="AJ434">
        <v>6.526070456012E-3</v>
      </c>
      <c r="AK434" s="57">
        <v>0</v>
      </c>
      <c r="AL434">
        <v>9.8277174740920001E-2</v>
      </c>
      <c r="AM434">
        <v>0.147151921454409</v>
      </c>
    </row>
    <row r="435" spans="31:39">
      <c r="AH435" t="s">
        <v>2</v>
      </c>
      <c r="AI435" t="s">
        <v>210</v>
      </c>
      <c r="AJ435">
        <v>6.526070456012E-3</v>
      </c>
      <c r="AK435" s="57">
        <v>0</v>
      </c>
      <c r="AL435">
        <v>9.8277174740920001E-2</v>
      </c>
      <c r="AM435">
        <v>0.147151921454409</v>
      </c>
    </row>
    <row r="436" spans="31:39">
      <c r="AE436" t="s">
        <v>129</v>
      </c>
      <c r="AF436" t="s">
        <v>182</v>
      </c>
      <c r="AG436" t="s">
        <v>3</v>
      </c>
      <c r="AH436" t="s">
        <v>2</v>
      </c>
      <c r="AI436">
        <v>1.5495084982165099</v>
      </c>
      <c r="AJ436">
        <v>1.70462024574599</v>
      </c>
      <c r="AK436" s="57">
        <v>0.64500000000000002</v>
      </c>
      <c r="AL436">
        <v>-2.9981859081142099</v>
      </c>
      <c r="AM436">
        <v>6.0972029045470304</v>
      </c>
    </row>
    <row r="437" spans="31:39">
      <c r="AH437" t="s">
        <v>1</v>
      </c>
      <c r="AI437">
        <v>2.3612191048962798</v>
      </c>
      <c r="AJ437">
        <v>1.70462024574599</v>
      </c>
      <c r="AK437" s="57">
        <v>0.379</v>
      </c>
      <c r="AL437">
        <v>-2.1864753014344398</v>
      </c>
      <c r="AM437">
        <v>6.9089135112267996</v>
      </c>
    </row>
    <row r="438" spans="31:39">
      <c r="AG438" t="s">
        <v>2</v>
      </c>
      <c r="AH438" t="s">
        <v>3</v>
      </c>
      <c r="AI438">
        <v>-1.5495084982165099</v>
      </c>
      <c r="AJ438">
        <v>1.70462024574599</v>
      </c>
      <c r="AK438" s="57">
        <v>0.64500000000000002</v>
      </c>
      <c r="AL438">
        <v>-6.0972029045470304</v>
      </c>
      <c r="AM438">
        <v>2.9981859081142099</v>
      </c>
    </row>
    <row r="439" spans="31:39">
      <c r="AH439" t="s">
        <v>1</v>
      </c>
      <c r="AI439">
        <v>0.81171060667987105</v>
      </c>
      <c r="AJ439">
        <v>1.70462024574599</v>
      </c>
      <c r="AK439" s="57">
        <v>0.88400000000000001</v>
      </c>
      <c r="AL439">
        <v>-3.73598379965085</v>
      </c>
      <c r="AM439">
        <v>5.3594050130103899</v>
      </c>
    </row>
    <row r="440" spans="31:39">
      <c r="AG440" t="s">
        <v>1</v>
      </c>
      <c r="AH440" t="s">
        <v>3</v>
      </c>
      <c r="AI440">
        <v>-2.3612191048962798</v>
      </c>
      <c r="AJ440">
        <v>1.70462024574599</v>
      </c>
      <c r="AK440" s="57">
        <v>0.379</v>
      </c>
      <c r="AL440">
        <v>-6.9089135112267996</v>
      </c>
      <c r="AM440">
        <v>2.1864753014344398</v>
      </c>
    </row>
    <row r="441" spans="31:39">
      <c r="AH441" t="s">
        <v>2</v>
      </c>
      <c r="AI441">
        <v>-0.81171060667987105</v>
      </c>
      <c r="AJ441">
        <v>1.70462024574599</v>
      </c>
      <c r="AK441" s="57">
        <v>0.88400000000000001</v>
      </c>
      <c r="AL441">
        <v>-5.3594050130103899</v>
      </c>
      <c r="AM441">
        <v>3.73598379965085</v>
      </c>
    </row>
    <row r="442" spans="31:39">
      <c r="AF442" t="s">
        <v>183</v>
      </c>
      <c r="AG442" t="s">
        <v>3</v>
      </c>
      <c r="AH442" t="s">
        <v>2</v>
      </c>
      <c r="AI442">
        <v>1.5495084982165099</v>
      </c>
      <c r="AJ442">
        <v>1.65812449800985</v>
      </c>
      <c r="AK442" s="57">
        <v>0.76500000000000001</v>
      </c>
      <c r="AL442">
        <v>-3.71556656317212</v>
      </c>
      <c r="AM442">
        <v>6.81458355960494</v>
      </c>
    </row>
    <row r="443" spans="31:39">
      <c r="AH443" t="s">
        <v>1</v>
      </c>
      <c r="AI443">
        <v>2.3612191048962798</v>
      </c>
      <c r="AJ443">
        <v>1.9036336007793</v>
      </c>
      <c r="AK443" s="57">
        <v>0.57899999999999996</v>
      </c>
      <c r="AL443">
        <v>-3.3764168432900901</v>
      </c>
      <c r="AM443">
        <v>8.0988550530824508</v>
      </c>
    </row>
    <row r="444" spans="31:39">
      <c r="AG444" t="s">
        <v>2</v>
      </c>
      <c r="AH444" t="s">
        <v>3</v>
      </c>
      <c r="AI444">
        <v>-1.5495084982165099</v>
      </c>
      <c r="AJ444">
        <v>1.65812449800985</v>
      </c>
      <c r="AK444" s="57">
        <v>0.76500000000000001</v>
      </c>
      <c r="AL444">
        <v>-6.81458355960494</v>
      </c>
      <c r="AM444">
        <v>3.71556656317212</v>
      </c>
    </row>
    <row r="445" spans="31:39">
      <c r="AH445" t="s">
        <v>1</v>
      </c>
      <c r="AI445">
        <v>0.81171060667987105</v>
      </c>
      <c r="AJ445">
        <v>1.53101038850328</v>
      </c>
      <c r="AK445" s="57">
        <v>0.94199999999999995</v>
      </c>
      <c r="AL445">
        <v>-3.9535001824731499</v>
      </c>
      <c r="AM445">
        <v>5.5769213958326898</v>
      </c>
    </row>
    <row r="446" spans="31:39">
      <c r="AG446" t="s">
        <v>1</v>
      </c>
      <c r="AH446" t="s">
        <v>3</v>
      </c>
      <c r="AI446">
        <v>-2.3612191048962798</v>
      </c>
      <c r="AJ446">
        <v>1.9036336007793</v>
      </c>
      <c r="AK446" s="57">
        <v>0.57899999999999996</v>
      </c>
      <c r="AL446">
        <v>-8.0988550530824508</v>
      </c>
      <c r="AM446">
        <v>3.3764168432900901</v>
      </c>
    </row>
    <row r="447" spans="31:39">
      <c r="AH447" t="s">
        <v>2</v>
      </c>
      <c r="AI447">
        <v>-0.81171060667987105</v>
      </c>
      <c r="AJ447">
        <v>1.53101038850328</v>
      </c>
      <c r="AK447" s="57">
        <v>0.94199999999999995</v>
      </c>
      <c r="AL447">
        <v>-5.5769213958326898</v>
      </c>
      <c r="AM447">
        <v>3.9535001824731499</v>
      </c>
    </row>
    <row r="448" spans="31:39">
      <c r="AF448" t="s">
        <v>184</v>
      </c>
      <c r="AG448" t="s">
        <v>3</v>
      </c>
      <c r="AH448" t="s">
        <v>2</v>
      </c>
      <c r="AI448">
        <v>1.5495084982165099</v>
      </c>
      <c r="AJ448">
        <v>1.65812449800985</v>
      </c>
      <c r="AK448" s="57">
        <v>0.73399999999999999</v>
      </c>
      <c r="AL448">
        <v>-3.6033219587779199</v>
      </c>
      <c r="AM448">
        <v>6.70233895521074</v>
      </c>
    </row>
    <row r="449" spans="31:39">
      <c r="AH449" t="s">
        <v>1</v>
      </c>
      <c r="AI449">
        <v>2.3612191048962798</v>
      </c>
      <c r="AJ449">
        <v>1.9036336007793</v>
      </c>
      <c r="AK449" s="57">
        <v>0.54800000000000004</v>
      </c>
      <c r="AL449">
        <v>-3.28566090527036</v>
      </c>
      <c r="AM449">
        <v>8.0080991150627199</v>
      </c>
    </row>
    <row r="450" spans="31:39">
      <c r="AG450" t="s">
        <v>2</v>
      </c>
      <c r="AH450" t="s">
        <v>3</v>
      </c>
      <c r="AI450">
        <v>-1.5495084982165099</v>
      </c>
      <c r="AJ450">
        <v>1.65812449800985</v>
      </c>
      <c r="AK450" s="57">
        <v>0.73399999999999999</v>
      </c>
      <c r="AL450">
        <v>-6.70233895521074</v>
      </c>
      <c r="AM450">
        <v>3.6033219587779199</v>
      </c>
    </row>
    <row r="451" spans="31:39">
      <c r="AH451" t="s">
        <v>1</v>
      </c>
      <c r="AI451">
        <v>0.81171060667987105</v>
      </c>
      <c r="AJ451">
        <v>1.53101038850328</v>
      </c>
      <c r="AK451" s="57">
        <v>0.93100000000000005</v>
      </c>
      <c r="AL451">
        <v>-3.8623148100482498</v>
      </c>
      <c r="AM451">
        <v>5.4857360234077897</v>
      </c>
    </row>
    <row r="452" spans="31:39">
      <c r="AG452" t="s">
        <v>1</v>
      </c>
      <c r="AH452" t="s">
        <v>3</v>
      </c>
      <c r="AI452">
        <v>-2.3612191048962798</v>
      </c>
      <c r="AJ452">
        <v>1.9036336007793</v>
      </c>
      <c r="AK452" s="57">
        <v>0.54800000000000004</v>
      </c>
      <c r="AL452">
        <v>-8.0080991150627199</v>
      </c>
      <c r="AM452">
        <v>3.28566090527036</v>
      </c>
    </row>
    <row r="453" spans="31:39">
      <c r="AH453" t="s">
        <v>2</v>
      </c>
      <c r="AI453">
        <v>-0.81171060667987105</v>
      </c>
      <c r="AJ453">
        <v>1.53101038850328</v>
      </c>
      <c r="AK453" s="57">
        <v>0.93100000000000005</v>
      </c>
      <c r="AL453">
        <v>-5.4857360234077897</v>
      </c>
      <c r="AM453">
        <v>3.8623148100482498</v>
      </c>
    </row>
    <row r="454" spans="31:39">
      <c r="AE454" t="s">
        <v>130</v>
      </c>
      <c r="AF454" t="s">
        <v>182</v>
      </c>
      <c r="AG454" t="s">
        <v>3</v>
      </c>
      <c r="AH454" t="s">
        <v>2</v>
      </c>
      <c r="AI454">
        <v>-0.30032518351670401</v>
      </c>
      <c r="AJ454">
        <v>0.155114997160268</v>
      </c>
      <c r="AK454" s="57">
        <v>0.17100000000000001</v>
      </c>
      <c r="AL454">
        <v>-0.71415084743435897</v>
      </c>
      <c r="AM454">
        <v>0.113500480401151</v>
      </c>
    </row>
    <row r="455" spans="31:39">
      <c r="AH455" t="s">
        <v>1</v>
      </c>
      <c r="AI455" t="s">
        <v>212</v>
      </c>
      <c r="AJ455">
        <v>0.155114997160268</v>
      </c>
      <c r="AK455" s="57">
        <v>4.3999999999999997E-2</v>
      </c>
      <c r="AL455">
        <v>-0.83920842758189895</v>
      </c>
      <c r="AM455">
        <v>-1.1557099746589E-2</v>
      </c>
    </row>
    <row r="456" spans="31:39">
      <c r="AG456" t="s">
        <v>2</v>
      </c>
      <c r="AH456" t="s">
        <v>3</v>
      </c>
      <c r="AI456">
        <v>0.30032518351670401</v>
      </c>
      <c r="AJ456">
        <v>0.155114997160268</v>
      </c>
      <c r="AK456" s="57">
        <v>0.17100000000000001</v>
      </c>
      <c r="AL456">
        <v>-0.113500480401151</v>
      </c>
      <c r="AM456">
        <v>0.71415084743435897</v>
      </c>
    </row>
    <row r="457" spans="31:39">
      <c r="AH457" t="s">
        <v>1</v>
      </c>
      <c r="AI457">
        <v>-0.12505758014764001</v>
      </c>
      <c r="AJ457">
        <v>0.155114997160268</v>
      </c>
      <c r="AK457" s="57">
        <v>0.70599999999999996</v>
      </c>
      <c r="AL457">
        <v>-0.53888324406529498</v>
      </c>
      <c r="AM457">
        <v>0.28876808377021501</v>
      </c>
    </row>
    <row r="458" spans="31:39">
      <c r="AG458" t="s">
        <v>1</v>
      </c>
      <c r="AH458" t="s">
        <v>3</v>
      </c>
      <c r="AI458" t="s">
        <v>213</v>
      </c>
      <c r="AJ458">
        <v>0.155114997160268</v>
      </c>
      <c r="AK458" s="57">
        <v>4.3999999999999997E-2</v>
      </c>
      <c r="AL458">
        <v>1.1557099746589E-2</v>
      </c>
      <c r="AM458">
        <v>0.83920842758189895</v>
      </c>
    </row>
    <row r="459" spans="31:39">
      <c r="AH459" t="s">
        <v>2</v>
      </c>
      <c r="AI459">
        <v>0.12505758014764001</v>
      </c>
      <c r="AJ459">
        <v>0.155114997160268</v>
      </c>
      <c r="AK459" s="57">
        <v>0.70599999999999996</v>
      </c>
      <c r="AL459">
        <v>-0.28876808377021501</v>
      </c>
      <c r="AM459">
        <v>0.53888324406529498</v>
      </c>
    </row>
    <row r="460" spans="31:39">
      <c r="AF460" t="s">
        <v>183</v>
      </c>
      <c r="AG460" t="s">
        <v>3</v>
      </c>
      <c r="AH460" t="s">
        <v>2</v>
      </c>
      <c r="AI460">
        <v>-0.30032518351670401</v>
      </c>
      <c r="AJ460">
        <v>8.5900719999663006E-2</v>
      </c>
      <c r="AK460" s="57">
        <v>5.0999999999999997E-2</v>
      </c>
      <c r="AL460">
        <v>-0.60168052444587194</v>
      </c>
      <c r="AM460">
        <v>1.030157412663E-3</v>
      </c>
    </row>
    <row r="461" spans="31:39">
      <c r="AH461" t="s">
        <v>1</v>
      </c>
      <c r="AI461">
        <v>-0.42538276366424399</v>
      </c>
      <c r="AJ461">
        <v>0.171954524480674</v>
      </c>
      <c r="AK461" s="57">
        <v>0.183</v>
      </c>
      <c r="AL461">
        <v>-1.0812850571470001</v>
      </c>
      <c r="AM461">
        <v>0.23051952981871199</v>
      </c>
    </row>
    <row r="462" spans="31:39">
      <c r="AG462" t="s">
        <v>2</v>
      </c>
      <c r="AH462" t="s">
        <v>3</v>
      </c>
      <c r="AI462">
        <v>0.30032518351670401</v>
      </c>
      <c r="AJ462">
        <v>8.5900719999663006E-2</v>
      </c>
      <c r="AK462" s="57">
        <v>5.0999999999999997E-2</v>
      </c>
      <c r="AL462">
        <v>-1.030157412663E-3</v>
      </c>
      <c r="AM462">
        <v>0.60168052444587194</v>
      </c>
    </row>
    <row r="463" spans="31:39">
      <c r="AH463" t="s">
        <v>1</v>
      </c>
      <c r="AI463">
        <v>-0.12505758014764001</v>
      </c>
      <c r="AJ463">
        <v>0.187709069696301</v>
      </c>
      <c r="AK463" s="57">
        <v>0.89700000000000002</v>
      </c>
      <c r="AL463">
        <v>-0.75000604152805905</v>
      </c>
      <c r="AM463">
        <v>0.49989088123297998</v>
      </c>
    </row>
    <row r="464" spans="31:39">
      <c r="AG464" t="s">
        <v>1</v>
      </c>
      <c r="AH464" t="s">
        <v>3</v>
      </c>
      <c r="AI464">
        <v>0.42538276366424399</v>
      </c>
      <c r="AJ464">
        <v>0.171954524480674</v>
      </c>
      <c r="AK464" s="57">
        <v>0.183</v>
      </c>
      <c r="AL464">
        <v>-0.23051952981871199</v>
      </c>
      <c r="AM464">
        <v>1.0812850571470001</v>
      </c>
    </row>
    <row r="465" spans="31:39">
      <c r="AH465" t="s">
        <v>2</v>
      </c>
      <c r="AI465">
        <v>0.12505758014764001</v>
      </c>
      <c r="AJ465">
        <v>0.187709069696301</v>
      </c>
      <c r="AK465" s="57">
        <v>0.89700000000000002</v>
      </c>
      <c r="AL465">
        <v>-0.49989088123297998</v>
      </c>
      <c r="AM465">
        <v>0.75000604152805905</v>
      </c>
    </row>
    <row r="466" spans="31:39">
      <c r="AF466" t="s">
        <v>184</v>
      </c>
      <c r="AG466" t="s">
        <v>3</v>
      </c>
      <c r="AH466" t="s">
        <v>2</v>
      </c>
      <c r="AI466" t="s">
        <v>214</v>
      </c>
      <c r="AJ466">
        <v>8.5900719999663006E-2</v>
      </c>
      <c r="AK466" s="57">
        <v>4.4999999999999998E-2</v>
      </c>
      <c r="AL466">
        <v>-0.59160670102773005</v>
      </c>
      <c r="AM466">
        <v>-9.0436660056789995E-3</v>
      </c>
    </row>
    <row r="467" spans="31:39">
      <c r="AH467" t="s">
        <v>1</v>
      </c>
      <c r="AI467">
        <v>-0.42538276366424399</v>
      </c>
      <c r="AJ467">
        <v>0.171954524480674</v>
      </c>
      <c r="AK467" s="57">
        <v>0.157</v>
      </c>
      <c r="AL467">
        <v>-1.0517970392851499</v>
      </c>
      <c r="AM467">
        <v>0.201031511956864</v>
      </c>
    </row>
    <row r="468" spans="31:39">
      <c r="AG468" t="s">
        <v>2</v>
      </c>
      <c r="AH468" t="s">
        <v>3</v>
      </c>
      <c r="AI468" t="s">
        <v>215</v>
      </c>
      <c r="AJ468">
        <v>8.5900719999663006E-2</v>
      </c>
      <c r="AK468" s="57">
        <v>4.4999999999999998E-2</v>
      </c>
      <c r="AL468">
        <v>9.0436660056789995E-3</v>
      </c>
      <c r="AM468">
        <v>0.59160670102773005</v>
      </c>
    </row>
    <row r="469" spans="31:39">
      <c r="AH469" t="s">
        <v>1</v>
      </c>
      <c r="AI469">
        <v>-0.12505758014764001</v>
      </c>
      <c r="AJ469">
        <v>0.187709069696301</v>
      </c>
      <c r="AK469" s="57">
        <v>0.876</v>
      </c>
      <c r="AL469">
        <v>-0.73323874658031396</v>
      </c>
      <c r="AM469">
        <v>0.483123586285235</v>
      </c>
    </row>
    <row r="470" spans="31:39">
      <c r="AG470" t="s">
        <v>1</v>
      </c>
      <c r="AH470" t="s">
        <v>3</v>
      </c>
      <c r="AI470">
        <v>0.42538276366424399</v>
      </c>
      <c r="AJ470">
        <v>0.171954524480674</v>
      </c>
      <c r="AK470" s="57">
        <v>0.157</v>
      </c>
      <c r="AL470">
        <v>-0.201031511956864</v>
      </c>
      <c r="AM470">
        <v>1.0517970392851499</v>
      </c>
    </row>
    <row r="471" spans="31:39">
      <c r="AH471" t="s">
        <v>2</v>
      </c>
      <c r="AI471">
        <v>0.12505758014764001</v>
      </c>
      <c r="AJ471">
        <v>0.187709069696301</v>
      </c>
      <c r="AK471" s="57">
        <v>0.876</v>
      </c>
      <c r="AL471">
        <v>-0.483123586285235</v>
      </c>
      <c r="AM471">
        <v>0.73323874658031396</v>
      </c>
    </row>
    <row r="472" spans="31:39">
      <c r="AE472" t="s">
        <v>131</v>
      </c>
      <c r="AF472" t="s">
        <v>182</v>
      </c>
      <c r="AG472" t="s">
        <v>3</v>
      </c>
      <c r="AH472" t="s">
        <v>2</v>
      </c>
      <c r="AI472">
        <v>4.3087417759555997E-2</v>
      </c>
      <c r="AJ472">
        <v>4.9518868038375997E-2</v>
      </c>
      <c r="AK472" s="57">
        <v>0.66800000000000004</v>
      </c>
      <c r="AL472">
        <v>-8.9022170723765004E-2</v>
      </c>
      <c r="AM472">
        <v>0.17519700624267701</v>
      </c>
    </row>
    <row r="473" spans="31:39">
      <c r="AH473" t="s">
        <v>1</v>
      </c>
      <c r="AI473">
        <v>4.9750744060577001E-2</v>
      </c>
      <c r="AJ473">
        <v>4.9518868038375997E-2</v>
      </c>
      <c r="AK473" s="57">
        <v>0.58799999999999997</v>
      </c>
      <c r="AL473">
        <v>-8.2358844422743993E-2</v>
      </c>
      <c r="AM473">
        <v>0.18186033254369899</v>
      </c>
    </row>
    <row r="474" spans="31:39">
      <c r="AG474" t="s">
        <v>2</v>
      </c>
      <c r="AH474" t="s">
        <v>3</v>
      </c>
      <c r="AI474">
        <v>-4.3087417759555997E-2</v>
      </c>
      <c r="AJ474">
        <v>4.9518868038375997E-2</v>
      </c>
      <c r="AK474" s="57">
        <v>0.66800000000000004</v>
      </c>
      <c r="AL474">
        <v>-0.17519700624267701</v>
      </c>
      <c r="AM474">
        <v>8.9022170723765004E-2</v>
      </c>
    </row>
    <row r="475" spans="31:39">
      <c r="AH475" t="s">
        <v>1</v>
      </c>
      <c r="AI475">
        <v>6.6633263011210003E-3</v>
      </c>
      <c r="AJ475">
        <v>4.9518868038375997E-2</v>
      </c>
      <c r="AK475" s="57">
        <v>0.99</v>
      </c>
      <c r="AL475">
        <v>-0.12544626218220001</v>
      </c>
      <c r="AM475">
        <v>0.138772914784243</v>
      </c>
    </row>
    <row r="476" spans="31:39">
      <c r="AG476" t="s">
        <v>1</v>
      </c>
      <c r="AH476" t="s">
        <v>3</v>
      </c>
      <c r="AI476">
        <v>-4.9750744060577001E-2</v>
      </c>
      <c r="AJ476">
        <v>4.9518868038375997E-2</v>
      </c>
      <c r="AK476" s="57">
        <v>0.58799999999999997</v>
      </c>
      <c r="AL476">
        <v>-0.18186033254369899</v>
      </c>
      <c r="AM476">
        <v>8.2358844422743993E-2</v>
      </c>
    </row>
    <row r="477" spans="31:39">
      <c r="AH477" t="s">
        <v>2</v>
      </c>
      <c r="AI477">
        <v>-6.6633263011210003E-3</v>
      </c>
      <c r="AJ477">
        <v>4.9518868038375997E-2</v>
      </c>
      <c r="AK477" s="57">
        <v>0.99</v>
      </c>
      <c r="AL477">
        <v>-0.138772914784243</v>
      </c>
      <c r="AM477">
        <v>0.12544626218220001</v>
      </c>
    </row>
    <row r="478" spans="31:39">
      <c r="AF478" t="s">
        <v>183</v>
      </c>
      <c r="AG478" t="s">
        <v>3</v>
      </c>
      <c r="AH478" t="s">
        <v>2</v>
      </c>
      <c r="AI478">
        <v>4.3087417759555997E-2</v>
      </c>
      <c r="AJ478">
        <v>5.5863539997730999E-2</v>
      </c>
      <c r="AK478" s="57">
        <v>0.84799999999999998</v>
      </c>
      <c r="AL478">
        <v>-0.132181066265636</v>
      </c>
      <c r="AM478">
        <v>0.218355901784548</v>
      </c>
    </row>
    <row r="479" spans="31:39">
      <c r="AH479" t="s">
        <v>1</v>
      </c>
      <c r="AI479">
        <v>4.9750744060577001E-2</v>
      </c>
      <c r="AJ479">
        <v>5.2551784239307002E-2</v>
      </c>
      <c r="AK479" s="57">
        <v>0.76300000000000001</v>
      </c>
      <c r="AL479">
        <v>-0.123312458119263</v>
      </c>
      <c r="AM479">
        <v>0.222813946240218</v>
      </c>
    </row>
    <row r="480" spans="31:39">
      <c r="AG480" t="s">
        <v>2</v>
      </c>
      <c r="AH480" t="s">
        <v>3</v>
      </c>
      <c r="AI480">
        <v>-4.3087417759555997E-2</v>
      </c>
      <c r="AJ480">
        <v>5.5863539997730999E-2</v>
      </c>
      <c r="AK480" s="57">
        <v>0.84799999999999998</v>
      </c>
      <c r="AL480">
        <v>-0.218355901784548</v>
      </c>
      <c r="AM480">
        <v>0.132181066265636</v>
      </c>
    </row>
    <row r="481" spans="31:39">
      <c r="AH481" t="s">
        <v>1</v>
      </c>
      <c r="AI481">
        <v>6.6633263011210003E-3</v>
      </c>
      <c r="AJ481">
        <v>3.8391792711374002E-2</v>
      </c>
      <c r="AK481" s="57">
        <v>0.998</v>
      </c>
      <c r="AL481">
        <v>-0.110424863583577</v>
      </c>
      <c r="AM481">
        <v>0.12375151618562</v>
      </c>
    </row>
    <row r="482" spans="31:39">
      <c r="AG482" t="s">
        <v>1</v>
      </c>
      <c r="AH482" t="s">
        <v>3</v>
      </c>
      <c r="AI482">
        <v>-4.9750744060577001E-2</v>
      </c>
      <c r="AJ482">
        <v>5.2551784239307002E-2</v>
      </c>
      <c r="AK482" s="57">
        <v>0.76300000000000001</v>
      </c>
      <c r="AL482">
        <v>-0.222813946240218</v>
      </c>
      <c r="AM482">
        <v>0.123312458119263</v>
      </c>
    </row>
    <row r="483" spans="31:39">
      <c r="AH483" t="s">
        <v>2</v>
      </c>
      <c r="AI483">
        <v>-6.6633263011210003E-3</v>
      </c>
      <c r="AJ483">
        <v>3.8391792711374002E-2</v>
      </c>
      <c r="AK483" s="57">
        <v>0.998</v>
      </c>
      <c r="AL483">
        <v>-0.12375151618562</v>
      </c>
      <c r="AM483">
        <v>0.110424863583577</v>
      </c>
    </row>
    <row r="484" spans="31:39">
      <c r="AF484" t="s">
        <v>184</v>
      </c>
      <c r="AG484" t="s">
        <v>3</v>
      </c>
      <c r="AH484" t="s">
        <v>2</v>
      </c>
      <c r="AI484">
        <v>4.3087417759555997E-2</v>
      </c>
      <c r="AJ484">
        <v>5.5863539997730999E-2</v>
      </c>
      <c r="AK484" s="57">
        <v>0.82499999999999996</v>
      </c>
      <c r="AL484">
        <v>-0.12867608956559401</v>
      </c>
      <c r="AM484">
        <v>0.21485092508450601</v>
      </c>
    </row>
    <row r="485" spans="31:39">
      <c r="AH485" t="s">
        <v>1</v>
      </c>
      <c r="AI485">
        <v>4.9750744060577001E-2</v>
      </c>
      <c r="AJ485">
        <v>5.2551784239307002E-2</v>
      </c>
      <c r="AK485" s="57">
        <v>0.72799999999999998</v>
      </c>
      <c r="AL485">
        <v>-0.118896084701437</v>
      </c>
      <c r="AM485">
        <v>0.218397572822392</v>
      </c>
    </row>
    <row r="486" spans="31:39">
      <c r="AG486" t="s">
        <v>2</v>
      </c>
      <c r="AH486" t="s">
        <v>3</v>
      </c>
      <c r="AI486">
        <v>-4.3087417759555997E-2</v>
      </c>
      <c r="AJ486">
        <v>5.5863539997730999E-2</v>
      </c>
      <c r="AK486" s="57">
        <v>0.82499999999999996</v>
      </c>
      <c r="AL486">
        <v>-0.21485092508450601</v>
      </c>
      <c r="AM486">
        <v>0.12867608956559401</v>
      </c>
    </row>
    <row r="487" spans="31:39">
      <c r="AH487" t="s">
        <v>1</v>
      </c>
      <c r="AI487">
        <v>6.6633263011210003E-3</v>
      </c>
      <c r="AJ487">
        <v>3.8391792711374002E-2</v>
      </c>
      <c r="AK487" s="57">
        <v>0.997</v>
      </c>
      <c r="AL487">
        <v>-0.108433391327904</v>
      </c>
      <c r="AM487">
        <v>0.12176004392994599</v>
      </c>
    </row>
    <row r="488" spans="31:39">
      <c r="AG488" t="s">
        <v>1</v>
      </c>
      <c r="AH488" t="s">
        <v>3</v>
      </c>
      <c r="AI488">
        <v>-4.9750744060577001E-2</v>
      </c>
      <c r="AJ488">
        <v>5.2551784239307002E-2</v>
      </c>
      <c r="AK488" s="57">
        <v>0.72799999999999998</v>
      </c>
      <c r="AL488">
        <v>-0.218397572822392</v>
      </c>
      <c r="AM488">
        <v>0.118896084701437</v>
      </c>
    </row>
    <row r="489" spans="31:39">
      <c r="AH489" t="s">
        <v>2</v>
      </c>
      <c r="AI489">
        <v>-6.6633263011210003E-3</v>
      </c>
      <c r="AJ489">
        <v>3.8391792711374002E-2</v>
      </c>
      <c r="AK489" s="57">
        <v>0.997</v>
      </c>
      <c r="AL489">
        <v>-0.12176004392994599</v>
      </c>
      <c r="AM489">
        <v>0.108433391327904</v>
      </c>
    </row>
    <row r="490" spans="31:39">
      <c r="AE490" t="s">
        <v>132</v>
      </c>
      <c r="AF490" t="s">
        <v>182</v>
      </c>
      <c r="AG490" t="s">
        <v>3</v>
      </c>
      <c r="AH490" t="s">
        <v>2</v>
      </c>
      <c r="AI490">
        <v>0.47030432174084602</v>
      </c>
      <c r="AJ490">
        <v>0.26650949123517198</v>
      </c>
      <c r="AK490" s="57">
        <v>0.223</v>
      </c>
      <c r="AL490">
        <v>-0.240706664752355</v>
      </c>
      <c r="AM490">
        <v>1.1813153082338399</v>
      </c>
    </row>
    <row r="491" spans="31:39">
      <c r="AH491" t="s">
        <v>1</v>
      </c>
      <c r="AI491">
        <v>0.51371747268172196</v>
      </c>
      <c r="AJ491">
        <v>0.26650949123517198</v>
      </c>
      <c r="AK491" s="57">
        <v>0.17299999999999999</v>
      </c>
      <c r="AL491">
        <v>-0.197293513811479</v>
      </c>
      <c r="AM491">
        <v>1.2247284591747201</v>
      </c>
    </row>
    <row r="492" spans="31:39">
      <c r="AG492" t="s">
        <v>2</v>
      </c>
      <c r="AH492" t="s">
        <v>3</v>
      </c>
      <c r="AI492">
        <v>-0.47030432174084602</v>
      </c>
      <c r="AJ492">
        <v>0.26650949123517198</v>
      </c>
      <c r="AK492" s="57">
        <v>0.223</v>
      </c>
      <c r="AL492">
        <v>-1.1813153082338399</v>
      </c>
      <c r="AM492">
        <v>0.240706664752355</v>
      </c>
    </row>
    <row r="493" spans="31:39">
      <c r="AH493" t="s">
        <v>1</v>
      </c>
      <c r="AI493">
        <v>4.3413150940974997E-2</v>
      </c>
      <c r="AJ493">
        <v>0.26650949123517198</v>
      </c>
      <c r="AK493" s="57">
        <v>0.98499999999999999</v>
      </c>
      <c r="AL493">
        <v>-0.66759783555222596</v>
      </c>
      <c r="AM493">
        <v>0.75442413743397596</v>
      </c>
    </row>
    <row r="494" spans="31:39">
      <c r="AG494" t="s">
        <v>1</v>
      </c>
      <c r="AH494" t="s">
        <v>3</v>
      </c>
      <c r="AI494">
        <v>-0.51371747268172196</v>
      </c>
      <c r="AJ494">
        <v>0.26650949123517198</v>
      </c>
      <c r="AK494" s="57">
        <v>0.17299999999999999</v>
      </c>
      <c r="AL494">
        <v>-1.2247284591747201</v>
      </c>
      <c r="AM494">
        <v>0.197293513811479</v>
      </c>
    </row>
    <row r="495" spans="31:39">
      <c r="AH495" t="s">
        <v>2</v>
      </c>
      <c r="AI495">
        <v>-4.3413150940974997E-2</v>
      </c>
      <c r="AJ495">
        <v>0.26650949123517198</v>
      </c>
      <c r="AK495" s="57">
        <v>0.98499999999999999</v>
      </c>
      <c r="AL495">
        <v>-0.75442413743397596</v>
      </c>
      <c r="AM495">
        <v>0.66759783555222596</v>
      </c>
    </row>
    <row r="496" spans="31:39">
      <c r="AF496" t="s">
        <v>183</v>
      </c>
      <c r="AG496" t="s">
        <v>3</v>
      </c>
      <c r="AH496" t="s">
        <v>2</v>
      </c>
      <c r="AI496">
        <v>0.47030432174084602</v>
      </c>
      <c r="AJ496">
        <v>0.27947106088789497</v>
      </c>
      <c r="AK496" s="57">
        <v>0.39800000000000002</v>
      </c>
      <c r="AL496">
        <v>-0.53051583612789499</v>
      </c>
      <c r="AM496">
        <v>1.4711244796093801</v>
      </c>
    </row>
    <row r="497" spans="31:39">
      <c r="AH497" t="s">
        <v>1</v>
      </c>
      <c r="AI497">
        <v>0.51371747268172196</v>
      </c>
      <c r="AJ497">
        <v>0.31514087245456501</v>
      </c>
      <c r="AK497" s="57">
        <v>0.38300000000000001</v>
      </c>
      <c r="AL497">
        <v>-0.478168301994846</v>
      </c>
      <c r="AM497">
        <v>1.50560324735809</v>
      </c>
    </row>
    <row r="498" spans="31:39">
      <c r="AG498" t="s">
        <v>2</v>
      </c>
      <c r="AH498" t="s">
        <v>3</v>
      </c>
      <c r="AI498">
        <v>-0.47030432174084602</v>
      </c>
      <c r="AJ498">
        <v>0.27947106088789497</v>
      </c>
      <c r="AK498" s="57">
        <v>0.39800000000000002</v>
      </c>
      <c r="AL498">
        <v>-1.4711244796093801</v>
      </c>
      <c r="AM498">
        <v>0.53051583612789499</v>
      </c>
    </row>
    <row r="499" spans="31:39">
      <c r="AH499" t="s">
        <v>1</v>
      </c>
      <c r="AI499">
        <v>4.3413150940974997E-2</v>
      </c>
      <c r="AJ499">
        <v>0.18884936693051699</v>
      </c>
      <c r="AK499" s="57">
        <v>0.995</v>
      </c>
      <c r="AL499">
        <v>-0.57819085712209894</v>
      </c>
      <c r="AM499">
        <v>0.66501715900384994</v>
      </c>
    </row>
    <row r="500" spans="31:39">
      <c r="AG500" t="s">
        <v>1</v>
      </c>
      <c r="AH500" t="s">
        <v>3</v>
      </c>
      <c r="AI500">
        <v>-0.51371747268172196</v>
      </c>
      <c r="AJ500">
        <v>0.31514087245456501</v>
      </c>
      <c r="AK500" s="57">
        <v>0.38300000000000001</v>
      </c>
      <c r="AL500">
        <v>-1.50560324735809</v>
      </c>
      <c r="AM500">
        <v>0.478168301994846</v>
      </c>
    </row>
    <row r="501" spans="31:39">
      <c r="AH501" t="s">
        <v>2</v>
      </c>
      <c r="AI501">
        <v>-4.3413150940974997E-2</v>
      </c>
      <c r="AJ501">
        <v>0.18884936693051699</v>
      </c>
      <c r="AK501" s="57">
        <v>0.995</v>
      </c>
      <c r="AL501">
        <v>-0.66501715900384994</v>
      </c>
      <c r="AM501">
        <v>0.57819085712209894</v>
      </c>
    </row>
    <row r="502" spans="31:39">
      <c r="AF502" t="s">
        <v>184</v>
      </c>
      <c r="AG502" t="s">
        <v>3</v>
      </c>
      <c r="AH502" t="s">
        <v>2</v>
      </c>
      <c r="AI502">
        <v>0.47030432174084602</v>
      </c>
      <c r="AJ502">
        <v>0.27947106088789497</v>
      </c>
      <c r="AK502" s="57">
        <v>0.35499999999999998</v>
      </c>
      <c r="AL502">
        <v>-0.49432786999631101</v>
      </c>
      <c r="AM502">
        <v>1.4349365134778</v>
      </c>
    </row>
    <row r="503" spans="31:39">
      <c r="AH503" t="s">
        <v>1</v>
      </c>
      <c r="AI503">
        <v>0.51371747268172196</v>
      </c>
      <c r="AJ503">
        <v>0.31514087245456501</v>
      </c>
      <c r="AK503" s="57">
        <v>0.35299999999999998</v>
      </c>
      <c r="AL503">
        <v>-0.45798856544848998</v>
      </c>
      <c r="AM503">
        <v>1.48542351081173</v>
      </c>
    </row>
    <row r="504" spans="31:39">
      <c r="AG504" t="s">
        <v>2</v>
      </c>
      <c r="AH504" t="s">
        <v>3</v>
      </c>
      <c r="AI504">
        <v>-0.47030432174084602</v>
      </c>
      <c r="AJ504">
        <v>0.27947106088789497</v>
      </c>
      <c r="AK504" s="57">
        <v>0.35499999999999998</v>
      </c>
      <c r="AL504">
        <v>-1.4349365134778</v>
      </c>
      <c r="AM504">
        <v>0.49432786999631101</v>
      </c>
    </row>
    <row r="505" spans="31:39">
      <c r="AH505" t="s">
        <v>1</v>
      </c>
      <c r="AI505">
        <v>4.3413150940974997E-2</v>
      </c>
      <c r="AJ505">
        <v>0.18884936693051699</v>
      </c>
      <c r="AK505" s="57">
        <v>0.99299999999999999</v>
      </c>
      <c r="AL505">
        <v>-0.562365520736403</v>
      </c>
      <c r="AM505">
        <v>0.649191822618153</v>
      </c>
    </row>
    <row r="506" spans="31:39">
      <c r="AG506" t="s">
        <v>1</v>
      </c>
      <c r="AH506" t="s">
        <v>3</v>
      </c>
      <c r="AI506">
        <v>-0.51371747268172196</v>
      </c>
      <c r="AJ506">
        <v>0.31514087245456501</v>
      </c>
      <c r="AK506" s="57">
        <v>0.35299999999999998</v>
      </c>
      <c r="AL506">
        <v>-1.48542351081173</v>
      </c>
      <c r="AM506">
        <v>0.45798856544848998</v>
      </c>
    </row>
    <row r="507" spans="31:39">
      <c r="AH507" t="s">
        <v>2</v>
      </c>
      <c r="AI507">
        <v>-4.3413150940974997E-2</v>
      </c>
      <c r="AJ507">
        <v>0.18884936693051699</v>
      </c>
      <c r="AK507" s="57">
        <v>0.99299999999999999</v>
      </c>
      <c r="AL507">
        <v>-0.649191822618153</v>
      </c>
      <c r="AM507">
        <v>0.562365520736403</v>
      </c>
    </row>
    <row r="508" spans="31:39">
      <c r="AE508" t="s">
        <v>133</v>
      </c>
      <c r="AF508" t="s">
        <v>182</v>
      </c>
      <c r="AG508" t="s">
        <v>3</v>
      </c>
      <c r="AH508" t="s">
        <v>2</v>
      </c>
      <c r="AI508">
        <v>0.109957873955327</v>
      </c>
      <c r="AJ508">
        <v>9.6153636786216995E-2</v>
      </c>
      <c r="AK508" s="57">
        <v>0.50700000000000001</v>
      </c>
      <c r="AL508">
        <v>-0.14656691932469301</v>
      </c>
      <c r="AM508">
        <v>0.366482667235146</v>
      </c>
    </row>
    <row r="509" spans="31:39">
      <c r="AH509" t="s">
        <v>1</v>
      </c>
      <c r="AI509">
        <v>0.16625174720694</v>
      </c>
      <c r="AJ509">
        <v>9.6153636786216995E-2</v>
      </c>
      <c r="AK509" s="57">
        <v>0.23499999999999999</v>
      </c>
      <c r="AL509">
        <v>-9.0273046073079996E-2</v>
      </c>
      <c r="AM509">
        <v>0.422776540486759</v>
      </c>
    </row>
    <row r="510" spans="31:39">
      <c r="AG510" t="s">
        <v>2</v>
      </c>
      <c r="AH510" t="s">
        <v>3</v>
      </c>
      <c r="AI510">
        <v>-0.109957873955327</v>
      </c>
      <c r="AJ510">
        <v>9.6153636786216995E-2</v>
      </c>
      <c r="AK510" s="57">
        <v>0.50700000000000001</v>
      </c>
      <c r="AL510">
        <v>-0.366482667235146</v>
      </c>
      <c r="AM510">
        <v>0.14656691932469301</v>
      </c>
    </row>
    <row r="511" spans="31:39">
      <c r="AH511" t="s">
        <v>1</v>
      </c>
      <c r="AI511">
        <v>5.6293873251712999E-2</v>
      </c>
      <c r="AJ511">
        <v>9.6153636786216995E-2</v>
      </c>
      <c r="AK511" s="57">
        <v>0.83</v>
      </c>
      <c r="AL511">
        <v>-0.200230920028307</v>
      </c>
      <c r="AM511">
        <v>0.31281866653153301</v>
      </c>
    </row>
    <row r="512" spans="31:39">
      <c r="AG512" t="s">
        <v>1</v>
      </c>
      <c r="AH512" t="s">
        <v>3</v>
      </c>
      <c r="AI512">
        <v>-0.16625174720694</v>
      </c>
      <c r="AJ512">
        <v>9.6153636786216995E-2</v>
      </c>
      <c r="AK512" s="57">
        <v>0.23499999999999999</v>
      </c>
      <c r="AL512">
        <v>-0.422776540486759</v>
      </c>
      <c r="AM512">
        <v>9.0273046073079996E-2</v>
      </c>
    </row>
    <row r="513" spans="31:39">
      <c r="AH513" t="s">
        <v>2</v>
      </c>
      <c r="AI513">
        <v>-5.6293873251712999E-2</v>
      </c>
      <c r="AJ513">
        <v>9.6153636786216995E-2</v>
      </c>
      <c r="AK513" s="57">
        <v>0.83</v>
      </c>
      <c r="AL513">
        <v>-0.31281866653153301</v>
      </c>
      <c r="AM513">
        <v>0.200230920028307</v>
      </c>
    </row>
    <row r="514" spans="31:39">
      <c r="AF514" t="s">
        <v>183</v>
      </c>
      <c r="AG514" t="s">
        <v>3</v>
      </c>
      <c r="AH514" t="s">
        <v>2</v>
      </c>
      <c r="AI514">
        <v>0.109957873955327</v>
      </c>
      <c r="AJ514">
        <v>0.102975006296937</v>
      </c>
      <c r="AK514" s="57">
        <v>0.69899999999999995</v>
      </c>
      <c r="AL514">
        <v>-0.23801672921835601</v>
      </c>
      <c r="AM514">
        <v>0.45793247712880902</v>
      </c>
    </row>
    <row r="515" spans="31:39">
      <c r="AH515" t="s">
        <v>1</v>
      </c>
      <c r="AI515">
        <v>0.16625174720694</v>
      </c>
      <c r="AJ515">
        <v>0.110141076722219</v>
      </c>
      <c r="AK515" s="57">
        <v>0.44400000000000001</v>
      </c>
      <c r="AL515">
        <v>-0.18317085457388799</v>
      </c>
      <c r="AM515">
        <v>0.51567434898756703</v>
      </c>
    </row>
    <row r="516" spans="31:39">
      <c r="AG516" t="s">
        <v>2</v>
      </c>
      <c r="AH516" t="s">
        <v>3</v>
      </c>
      <c r="AI516">
        <v>-0.109957873955327</v>
      </c>
      <c r="AJ516">
        <v>0.102975006296937</v>
      </c>
      <c r="AK516" s="57">
        <v>0.69899999999999995</v>
      </c>
      <c r="AL516">
        <v>-0.45793247712880902</v>
      </c>
      <c r="AM516">
        <v>0.23801672921835601</v>
      </c>
    </row>
    <row r="517" spans="31:39">
      <c r="AH517" t="s">
        <v>1</v>
      </c>
      <c r="AI517">
        <v>5.6293873251712999E-2</v>
      </c>
      <c r="AJ517">
        <v>7.0722393188171001E-2</v>
      </c>
      <c r="AK517" s="57">
        <v>0.83499999999999996</v>
      </c>
      <c r="AL517">
        <v>-0.161259600522771</v>
      </c>
      <c r="AM517">
        <v>0.273847347025997</v>
      </c>
    </row>
    <row r="518" spans="31:39">
      <c r="AG518" t="s">
        <v>1</v>
      </c>
      <c r="AH518" t="s">
        <v>3</v>
      </c>
      <c r="AI518">
        <v>-0.16625174720694</v>
      </c>
      <c r="AJ518">
        <v>0.110141076722219</v>
      </c>
      <c r="AK518" s="57">
        <v>0.44400000000000001</v>
      </c>
      <c r="AL518">
        <v>-0.51567434898756703</v>
      </c>
      <c r="AM518">
        <v>0.18317085457388799</v>
      </c>
    </row>
    <row r="519" spans="31:39">
      <c r="AH519" t="s">
        <v>2</v>
      </c>
      <c r="AI519">
        <v>-5.6293873251712999E-2</v>
      </c>
      <c r="AJ519">
        <v>7.0722393188171001E-2</v>
      </c>
      <c r="AK519" s="57">
        <v>0.83499999999999996</v>
      </c>
      <c r="AL519">
        <v>-0.273847347025997</v>
      </c>
      <c r="AM519">
        <v>0.161259600522771</v>
      </c>
    </row>
    <row r="520" spans="31:39">
      <c r="AF520" t="s">
        <v>184</v>
      </c>
      <c r="AG520" t="s">
        <v>3</v>
      </c>
      <c r="AH520" t="s">
        <v>2</v>
      </c>
      <c r="AI520">
        <v>0.109957873955327</v>
      </c>
      <c r="AJ520">
        <v>0.102975006296937</v>
      </c>
      <c r="AK520" s="57">
        <v>0.65900000000000003</v>
      </c>
      <c r="AL520">
        <v>-0.228046319474042</v>
      </c>
      <c r="AM520">
        <v>0.44796206738449501</v>
      </c>
    </row>
    <row r="521" spans="31:39">
      <c r="AH521" t="s">
        <v>1</v>
      </c>
      <c r="AI521">
        <v>0.16625174720694</v>
      </c>
      <c r="AJ521">
        <v>0.110141076722219</v>
      </c>
      <c r="AK521" s="57">
        <v>0.41</v>
      </c>
      <c r="AL521">
        <v>-0.17575615440178799</v>
      </c>
      <c r="AM521">
        <v>0.50825964881546704</v>
      </c>
    </row>
    <row r="522" spans="31:39">
      <c r="AG522" t="s">
        <v>2</v>
      </c>
      <c r="AH522" t="s">
        <v>3</v>
      </c>
      <c r="AI522">
        <v>-0.109957873955327</v>
      </c>
      <c r="AJ522">
        <v>0.102975006296937</v>
      </c>
      <c r="AK522" s="57">
        <v>0.65900000000000003</v>
      </c>
      <c r="AL522">
        <v>-0.44796206738449501</v>
      </c>
      <c r="AM522">
        <v>0.228046319474042</v>
      </c>
    </row>
    <row r="523" spans="31:39">
      <c r="AH523" t="s">
        <v>1</v>
      </c>
      <c r="AI523">
        <v>5.6293873251712999E-2</v>
      </c>
      <c r="AJ523">
        <v>7.0722393188171001E-2</v>
      </c>
      <c r="AK523" s="57">
        <v>0.81200000000000006</v>
      </c>
      <c r="AL523">
        <v>-0.157366161303505</v>
      </c>
      <c r="AM523">
        <v>0.26995390780673101</v>
      </c>
    </row>
    <row r="524" spans="31:39">
      <c r="AG524" t="s">
        <v>1</v>
      </c>
      <c r="AH524" t="s">
        <v>3</v>
      </c>
      <c r="AI524">
        <v>-0.16625174720694</v>
      </c>
      <c r="AJ524">
        <v>0.110141076722219</v>
      </c>
      <c r="AK524" s="57">
        <v>0.41</v>
      </c>
      <c r="AL524">
        <v>-0.50825964881546704</v>
      </c>
      <c r="AM524">
        <v>0.17575615440178799</v>
      </c>
    </row>
    <row r="525" spans="31:39">
      <c r="AH525" t="s">
        <v>2</v>
      </c>
      <c r="AI525">
        <v>-5.6293873251712999E-2</v>
      </c>
      <c r="AJ525">
        <v>7.0722393188171001E-2</v>
      </c>
      <c r="AK525" s="57">
        <v>0.81200000000000006</v>
      </c>
      <c r="AL525">
        <v>-0.26995390780673101</v>
      </c>
      <c r="AM525">
        <v>0.157366161303505</v>
      </c>
    </row>
    <row r="526" spans="31:39">
      <c r="AE526" t="s">
        <v>134</v>
      </c>
      <c r="AF526" t="s">
        <v>182</v>
      </c>
      <c r="AG526" t="s">
        <v>3</v>
      </c>
      <c r="AH526" t="s">
        <v>2</v>
      </c>
      <c r="AI526">
        <v>-0.17653620543606199</v>
      </c>
      <c r="AJ526">
        <v>0.245577662863493</v>
      </c>
      <c r="AK526" s="57">
        <v>0.75700000000000001</v>
      </c>
      <c r="AL526">
        <v>-0.83170392769603696</v>
      </c>
      <c r="AM526">
        <v>0.47863151682411298</v>
      </c>
    </row>
    <row r="527" spans="31:39">
      <c r="AH527" t="s">
        <v>1</v>
      </c>
      <c r="AI527">
        <v>-0.15494277854952801</v>
      </c>
      <c r="AJ527">
        <v>0.245577662863493</v>
      </c>
      <c r="AK527" s="57">
        <v>0.80600000000000005</v>
      </c>
      <c r="AL527">
        <v>-0.81011050080950298</v>
      </c>
      <c r="AM527">
        <v>0.50022494371064596</v>
      </c>
    </row>
    <row r="528" spans="31:39">
      <c r="AG528" t="s">
        <v>2</v>
      </c>
      <c r="AH528" t="s">
        <v>3</v>
      </c>
      <c r="AI528">
        <v>0.17653620543606199</v>
      </c>
      <c r="AJ528">
        <v>0.245577662863493</v>
      </c>
      <c r="AK528" s="57">
        <v>0.75700000000000001</v>
      </c>
      <c r="AL528">
        <v>-0.47863151682411298</v>
      </c>
      <c r="AM528">
        <v>0.83170392769603696</v>
      </c>
    </row>
    <row r="529" spans="31:39">
      <c r="AH529" t="s">
        <v>1</v>
      </c>
      <c r="AI529">
        <v>2.1593426886634001E-2</v>
      </c>
      <c r="AJ529">
        <v>0.245577662863493</v>
      </c>
      <c r="AK529" s="57">
        <v>0.996</v>
      </c>
      <c r="AL529">
        <v>-0.63357429537354104</v>
      </c>
      <c r="AM529">
        <v>0.67676114914660901</v>
      </c>
    </row>
    <row r="530" spans="31:39">
      <c r="AG530" t="s">
        <v>1</v>
      </c>
      <c r="AH530" t="s">
        <v>3</v>
      </c>
      <c r="AI530">
        <v>0.15494277854952801</v>
      </c>
      <c r="AJ530">
        <v>0.245577662863493</v>
      </c>
      <c r="AK530" s="57">
        <v>0.80600000000000005</v>
      </c>
      <c r="AL530">
        <v>-0.50022494371064596</v>
      </c>
      <c r="AM530">
        <v>0.81011050080950298</v>
      </c>
    </row>
    <row r="531" spans="31:39">
      <c r="AH531" t="s">
        <v>2</v>
      </c>
      <c r="AI531">
        <v>-2.1593426886634001E-2</v>
      </c>
      <c r="AJ531">
        <v>0.245577662863493</v>
      </c>
      <c r="AK531" s="57">
        <v>0.996</v>
      </c>
      <c r="AL531">
        <v>-0.67676114914660901</v>
      </c>
      <c r="AM531">
        <v>0.63357429537354104</v>
      </c>
    </row>
    <row r="532" spans="31:39">
      <c r="AF532" t="s">
        <v>183</v>
      </c>
      <c r="AG532" t="s">
        <v>3</v>
      </c>
      <c r="AH532" t="s">
        <v>2</v>
      </c>
      <c r="AI532">
        <v>-0.17653620543606199</v>
      </c>
      <c r="AJ532">
        <v>0.17864978309729301</v>
      </c>
      <c r="AK532" s="57">
        <v>0.72799999999999998</v>
      </c>
      <c r="AL532">
        <v>-0.71398427738651105</v>
      </c>
      <c r="AM532">
        <v>0.36091186651458701</v>
      </c>
    </row>
    <row r="533" spans="31:39">
      <c r="AH533" t="s">
        <v>1</v>
      </c>
      <c r="AI533">
        <v>-0.15494277854952801</v>
      </c>
      <c r="AJ533">
        <v>0.27087469106342899</v>
      </c>
      <c r="AK533" s="57">
        <v>0.93</v>
      </c>
      <c r="AL533">
        <v>-1.0468623350939401</v>
      </c>
      <c r="AM533">
        <v>0.73697677799509098</v>
      </c>
    </row>
    <row r="534" spans="31:39">
      <c r="AG534" t="s">
        <v>2</v>
      </c>
      <c r="AH534" t="s">
        <v>3</v>
      </c>
      <c r="AI534">
        <v>0.17653620543606199</v>
      </c>
      <c r="AJ534">
        <v>0.17864978309729301</v>
      </c>
      <c r="AK534" s="57">
        <v>0.72799999999999998</v>
      </c>
      <c r="AL534">
        <v>-0.36091186651458701</v>
      </c>
      <c r="AM534">
        <v>0.71398427738651105</v>
      </c>
    </row>
    <row r="535" spans="31:39">
      <c r="AH535" t="s">
        <v>1</v>
      </c>
      <c r="AI535">
        <v>2.1593426886634001E-2</v>
      </c>
      <c r="AJ535">
        <v>0.27502058510785299</v>
      </c>
      <c r="AK535" s="57">
        <v>1</v>
      </c>
      <c r="AL535">
        <v>-0.87100348438963504</v>
      </c>
      <c r="AM535">
        <v>0.91419033816270301</v>
      </c>
    </row>
    <row r="536" spans="31:39">
      <c r="AG536" t="s">
        <v>1</v>
      </c>
      <c r="AH536" t="s">
        <v>3</v>
      </c>
      <c r="AI536">
        <v>0.15494277854952801</v>
      </c>
      <c r="AJ536">
        <v>0.27087469106342899</v>
      </c>
      <c r="AK536" s="57">
        <v>0.93</v>
      </c>
      <c r="AL536">
        <v>-0.73697677799509098</v>
      </c>
      <c r="AM536">
        <v>1.0468623350939401</v>
      </c>
    </row>
    <row r="537" spans="31:39">
      <c r="AH537" t="s">
        <v>2</v>
      </c>
      <c r="AI537">
        <v>-2.1593426886634001E-2</v>
      </c>
      <c r="AJ537">
        <v>0.27502058510785299</v>
      </c>
      <c r="AK537" s="57">
        <v>1</v>
      </c>
      <c r="AL537">
        <v>-0.91419033816270301</v>
      </c>
      <c r="AM537">
        <v>0.87100348438963504</v>
      </c>
    </row>
    <row r="538" spans="31:39">
      <c r="AF538" t="s">
        <v>184</v>
      </c>
      <c r="AG538" t="s">
        <v>3</v>
      </c>
      <c r="AH538" t="s">
        <v>2</v>
      </c>
      <c r="AI538">
        <v>-0.17653620543606199</v>
      </c>
      <c r="AJ538">
        <v>0.17864978309729301</v>
      </c>
      <c r="AK538" s="57">
        <v>0.70099999999999996</v>
      </c>
      <c r="AL538">
        <v>-0.70558330378195899</v>
      </c>
      <c r="AM538">
        <v>0.35251089291003501</v>
      </c>
    </row>
    <row r="539" spans="31:39">
      <c r="AH539" t="s">
        <v>1</v>
      </c>
      <c r="AI539">
        <v>-0.15494277854952801</v>
      </c>
      <c r="AJ539">
        <v>0.27087469106342899</v>
      </c>
      <c r="AK539" s="57">
        <v>0.91500000000000004</v>
      </c>
      <c r="AL539">
        <v>-1.02411623968654</v>
      </c>
      <c r="AM539">
        <v>0.71423068258769296</v>
      </c>
    </row>
    <row r="540" spans="31:39">
      <c r="AG540" t="s">
        <v>2</v>
      </c>
      <c r="AH540" t="s">
        <v>3</v>
      </c>
      <c r="AI540">
        <v>0.17653620543606199</v>
      </c>
      <c r="AJ540">
        <v>0.17864978309729301</v>
      </c>
      <c r="AK540" s="57">
        <v>0.70099999999999996</v>
      </c>
      <c r="AL540">
        <v>-0.35251089291003501</v>
      </c>
      <c r="AM540">
        <v>0.70558330378195899</v>
      </c>
    </row>
    <row r="541" spans="31:39">
      <c r="AH541" t="s">
        <v>1</v>
      </c>
      <c r="AI541">
        <v>2.1593426886634001E-2</v>
      </c>
      <c r="AJ541">
        <v>0.27502058510785299</v>
      </c>
      <c r="AK541" s="57">
        <v>1</v>
      </c>
      <c r="AL541">
        <v>-0.84975353717818702</v>
      </c>
      <c r="AM541">
        <v>0.89294039095125499</v>
      </c>
    </row>
    <row r="542" spans="31:39">
      <c r="AG542" t="s">
        <v>1</v>
      </c>
      <c r="AH542" t="s">
        <v>3</v>
      </c>
      <c r="AI542">
        <v>0.15494277854952801</v>
      </c>
      <c r="AJ542">
        <v>0.27087469106342899</v>
      </c>
      <c r="AK542" s="57">
        <v>0.91500000000000004</v>
      </c>
      <c r="AL542">
        <v>-0.71423068258769296</v>
      </c>
      <c r="AM542">
        <v>1.02411623968654</v>
      </c>
    </row>
    <row r="543" spans="31:39">
      <c r="AH543" t="s">
        <v>2</v>
      </c>
      <c r="AI543">
        <v>-2.1593426886634001E-2</v>
      </c>
      <c r="AJ543">
        <v>0.27502058510785299</v>
      </c>
      <c r="AK543" s="57">
        <v>1</v>
      </c>
      <c r="AL543">
        <v>-0.89294039095125499</v>
      </c>
      <c r="AM543">
        <v>0.84975353717818702</v>
      </c>
    </row>
    <row r="544" spans="31:39">
      <c r="AE544" t="s">
        <v>135</v>
      </c>
      <c r="AF544" t="s">
        <v>182</v>
      </c>
      <c r="AG544" t="s">
        <v>3</v>
      </c>
      <c r="AH544" t="s">
        <v>2</v>
      </c>
      <c r="AI544" t="s">
        <v>216</v>
      </c>
      <c r="AJ544">
        <v>1.8296157143243001E-2</v>
      </c>
      <c r="AK544" s="57">
        <v>0</v>
      </c>
      <c r="AL544">
        <v>8.5111193521300005E-2</v>
      </c>
      <c r="AM544">
        <v>0.18273449901103</v>
      </c>
    </row>
    <row r="545" spans="32:39">
      <c r="AH545" t="s">
        <v>1</v>
      </c>
      <c r="AI545" t="s">
        <v>216</v>
      </c>
      <c r="AJ545">
        <v>1.8296157143243001E-2</v>
      </c>
      <c r="AK545" s="57">
        <v>0</v>
      </c>
      <c r="AL545">
        <v>8.5111193521300005E-2</v>
      </c>
      <c r="AM545">
        <v>0.18273449901103</v>
      </c>
    </row>
    <row r="546" spans="32:39">
      <c r="AG546" t="s">
        <v>2</v>
      </c>
      <c r="AH546" t="s">
        <v>3</v>
      </c>
      <c r="AI546" t="s">
        <v>217</v>
      </c>
      <c r="AJ546">
        <v>1.8296157143243001E-2</v>
      </c>
      <c r="AK546" s="57">
        <v>0</v>
      </c>
      <c r="AL546">
        <v>-0.18273449901103</v>
      </c>
      <c r="AM546">
        <v>-8.5111193521300005E-2</v>
      </c>
    </row>
    <row r="547" spans="32:39">
      <c r="AH547" t="s">
        <v>1</v>
      </c>
      <c r="AI547">
        <v>0</v>
      </c>
      <c r="AJ547">
        <v>1.8296157143243001E-2</v>
      </c>
      <c r="AK547" s="57">
        <v>1</v>
      </c>
      <c r="AL547">
        <v>-4.8811652744965003E-2</v>
      </c>
      <c r="AM547">
        <v>4.8811652744965003E-2</v>
      </c>
    </row>
    <row r="548" spans="32:39">
      <c r="AG548" t="s">
        <v>1</v>
      </c>
      <c r="AH548" t="s">
        <v>3</v>
      </c>
      <c r="AI548" t="s">
        <v>217</v>
      </c>
      <c r="AJ548">
        <v>1.8296157143243001E-2</v>
      </c>
      <c r="AK548" s="57">
        <v>0</v>
      </c>
      <c r="AL548">
        <v>-0.18273449901103</v>
      </c>
      <c r="AM548">
        <v>-8.5111193521300005E-2</v>
      </c>
    </row>
    <row r="549" spans="32:39">
      <c r="AH549" t="s">
        <v>2</v>
      </c>
      <c r="AI549">
        <v>0</v>
      </c>
      <c r="AJ549">
        <v>1.8296157143243001E-2</v>
      </c>
      <c r="AK549" s="57">
        <v>1</v>
      </c>
      <c r="AL549">
        <v>-4.8811652744965003E-2</v>
      </c>
      <c r="AM549">
        <v>4.8811652744965003E-2</v>
      </c>
    </row>
    <row r="550" spans="32:39">
      <c r="AF550" t="s">
        <v>183</v>
      </c>
      <c r="AG550" t="s">
        <v>3</v>
      </c>
      <c r="AH550" t="s">
        <v>2</v>
      </c>
      <c r="AI550" t="s">
        <v>216</v>
      </c>
      <c r="AJ550">
        <v>2.2408124627339002E-2</v>
      </c>
      <c r="AK550" s="57">
        <v>1.2E-2</v>
      </c>
      <c r="AL550">
        <v>4.5623254334212E-2</v>
      </c>
      <c r="AM550">
        <v>0.22222243819811699</v>
      </c>
    </row>
    <row r="551" spans="32:39">
      <c r="AH551" t="s">
        <v>1</v>
      </c>
      <c r="AI551" t="s">
        <v>216</v>
      </c>
      <c r="AJ551">
        <v>2.2408124627339002E-2</v>
      </c>
      <c r="AK551" s="57">
        <v>1.2E-2</v>
      </c>
      <c r="AL551">
        <v>4.5623254334212E-2</v>
      </c>
      <c r="AM551">
        <v>0.22222243819811699</v>
      </c>
    </row>
    <row r="552" spans="32:39">
      <c r="AG552" t="s">
        <v>2</v>
      </c>
      <c r="AH552" t="s">
        <v>3</v>
      </c>
      <c r="AI552" t="s">
        <v>217</v>
      </c>
      <c r="AJ552">
        <v>2.2408124627339002E-2</v>
      </c>
      <c r="AK552" s="57">
        <v>1.2E-2</v>
      </c>
      <c r="AL552">
        <v>-0.22222243819811699</v>
      </c>
      <c r="AM552">
        <v>-4.5623254334212E-2</v>
      </c>
    </row>
    <row r="553" spans="32:39">
      <c r="AH553" t="s">
        <v>1</v>
      </c>
      <c r="AI553">
        <v>0</v>
      </c>
      <c r="AJ553">
        <v>0</v>
      </c>
      <c r="AK553" s="57" t="s">
        <v>211</v>
      </c>
      <c r="AL553">
        <v>0</v>
      </c>
      <c r="AM553">
        <v>0</v>
      </c>
    </row>
    <row r="554" spans="32:39">
      <c r="AG554" t="s">
        <v>1</v>
      </c>
      <c r="AH554" t="s">
        <v>3</v>
      </c>
      <c r="AI554" t="s">
        <v>217</v>
      </c>
      <c r="AJ554">
        <v>2.2408124627339002E-2</v>
      </c>
      <c r="AK554" s="57">
        <v>1.2E-2</v>
      </c>
      <c r="AL554">
        <v>-0.22222243819811699</v>
      </c>
      <c r="AM554">
        <v>-4.5623254334212E-2</v>
      </c>
    </row>
    <row r="555" spans="32:39">
      <c r="AH555" t="s">
        <v>2</v>
      </c>
      <c r="AI555">
        <v>0</v>
      </c>
      <c r="AJ555">
        <v>0</v>
      </c>
      <c r="AK555" s="57" t="s">
        <v>211</v>
      </c>
      <c r="AL555">
        <v>0</v>
      </c>
      <c r="AM555">
        <v>0</v>
      </c>
    </row>
    <row r="556" spans="32:39">
      <c r="AF556" t="s">
        <v>184</v>
      </c>
      <c r="AG556" t="s">
        <v>3</v>
      </c>
      <c r="AH556" t="s">
        <v>2</v>
      </c>
      <c r="AI556" t="s">
        <v>216</v>
      </c>
      <c r="AJ556">
        <v>2.2408124627339002E-2</v>
      </c>
      <c r="AK556" s="57">
        <v>0.01</v>
      </c>
      <c r="AL556">
        <v>5.0013898080628998E-2</v>
      </c>
      <c r="AM556">
        <v>0.21783179445170101</v>
      </c>
    </row>
    <row r="557" spans="32:39">
      <c r="AH557" t="s">
        <v>1</v>
      </c>
      <c r="AI557" t="s">
        <v>216</v>
      </c>
      <c r="AJ557">
        <v>2.2408124627339002E-2</v>
      </c>
      <c r="AK557" s="57">
        <v>0.01</v>
      </c>
      <c r="AL557">
        <v>5.0013898080628998E-2</v>
      </c>
      <c r="AM557">
        <v>0.21783179445170101</v>
      </c>
    </row>
    <row r="558" spans="32:39">
      <c r="AG558" t="s">
        <v>2</v>
      </c>
      <c r="AH558" t="s">
        <v>3</v>
      </c>
      <c r="AI558" t="s">
        <v>217</v>
      </c>
      <c r="AJ558">
        <v>2.2408124627339002E-2</v>
      </c>
      <c r="AK558" s="57">
        <v>0.01</v>
      </c>
      <c r="AL558">
        <v>-0.21783179445170101</v>
      </c>
      <c r="AM558">
        <v>-5.0013898080628998E-2</v>
      </c>
    </row>
    <row r="559" spans="32:39">
      <c r="AH559" t="s">
        <v>1</v>
      </c>
      <c r="AI559">
        <v>0</v>
      </c>
      <c r="AJ559">
        <v>0</v>
      </c>
      <c r="AK559" s="57" t="s">
        <v>211</v>
      </c>
      <c r="AL559">
        <v>0</v>
      </c>
      <c r="AM559">
        <v>0</v>
      </c>
    </row>
    <row r="560" spans="32:39">
      <c r="AG560" t="s">
        <v>1</v>
      </c>
      <c r="AH560" t="s">
        <v>3</v>
      </c>
      <c r="AI560" t="s">
        <v>217</v>
      </c>
      <c r="AJ560">
        <v>2.2408124627339002E-2</v>
      </c>
      <c r="AK560" s="57">
        <v>0.01</v>
      </c>
      <c r="AL560">
        <v>-0.21783179445170101</v>
      </c>
      <c r="AM560">
        <v>-5.0013898080628998E-2</v>
      </c>
    </row>
    <row r="561" spans="31:39">
      <c r="AH561" t="s">
        <v>2</v>
      </c>
      <c r="AI561">
        <v>0</v>
      </c>
      <c r="AJ561">
        <v>0</v>
      </c>
      <c r="AK561" s="57" t="s">
        <v>211</v>
      </c>
      <c r="AL561">
        <v>0</v>
      </c>
      <c r="AM561">
        <v>0</v>
      </c>
    </row>
    <row r="562" spans="31:39">
      <c r="AE562" t="s">
        <v>136</v>
      </c>
      <c r="AF562" t="s">
        <v>182</v>
      </c>
      <c r="AG562" t="s">
        <v>3</v>
      </c>
      <c r="AH562" t="s">
        <v>2</v>
      </c>
      <c r="AI562">
        <v>2.6615318017336999E-2</v>
      </c>
      <c r="AJ562">
        <v>5.767533040878E-2</v>
      </c>
      <c r="AK562" s="57">
        <v>0.89</v>
      </c>
      <c r="AL562">
        <v>-0.12725460001146699</v>
      </c>
      <c r="AM562">
        <v>0.18048523604594199</v>
      </c>
    </row>
    <row r="563" spans="31:39">
      <c r="AH563" t="s">
        <v>1</v>
      </c>
      <c r="AI563">
        <v>3.7461182746683003E-2</v>
      </c>
      <c r="AJ563">
        <v>5.767533040878E-2</v>
      </c>
      <c r="AK563" s="57">
        <v>0.79600000000000004</v>
      </c>
      <c r="AL563">
        <v>-0.11640873528212201</v>
      </c>
      <c r="AM563">
        <v>0.191331100775288</v>
      </c>
    </row>
    <row r="564" spans="31:39">
      <c r="AG564" t="s">
        <v>2</v>
      </c>
      <c r="AH564" t="s">
        <v>3</v>
      </c>
      <c r="AI564">
        <v>-2.6615318017336999E-2</v>
      </c>
      <c r="AJ564">
        <v>5.767533040878E-2</v>
      </c>
      <c r="AK564" s="57">
        <v>0.89</v>
      </c>
      <c r="AL564">
        <v>-0.18048523604594199</v>
      </c>
      <c r="AM564">
        <v>0.12725460001146699</v>
      </c>
    </row>
    <row r="565" spans="31:39">
      <c r="AH565" t="s">
        <v>1</v>
      </c>
      <c r="AI565">
        <v>1.0845864729444999E-2</v>
      </c>
      <c r="AJ565">
        <v>5.767533040878E-2</v>
      </c>
      <c r="AK565" s="57">
        <v>0.98099999999999998</v>
      </c>
      <c r="AL565">
        <v>-0.14302405329935899</v>
      </c>
      <c r="AM565">
        <v>0.16471578275804999</v>
      </c>
    </row>
    <row r="566" spans="31:39">
      <c r="AG566" t="s">
        <v>1</v>
      </c>
      <c r="AH566" t="s">
        <v>3</v>
      </c>
      <c r="AI566">
        <v>-3.7461182746683003E-2</v>
      </c>
      <c r="AJ566">
        <v>5.767533040878E-2</v>
      </c>
      <c r="AK566" s="57">
        <v>0.79600000000000004</v>
      </c>
      <c r="AL566">
        <v>-0.191331100775288</v>
      </c>
      <c r="AM566">
        <v>0.11640873528212201</v>
      </c>
    </row>
    <row r="567" spans="31:39">
      <c r="AH567" t="s">
        <v>2</v>
      </c>
      <c r="AI567">
        <v>-1.0845864729444999E-2</v>
      </c>
      <c r="AJ567">
        <v>5.767533040878E-2</v>
      </c>
      <c r="AK567" s="57">
        <v>0.98099999999999998</v>
      </c>
      <c r="AL567">
        <v>-0.16471578275804999</v>
      </c>
      <c r="AM567">
        <v>0.14302405329935899</v>
      </c>
    </row>
    <row r="568" spans="31:39">
      <c r="AF568" t="s">
        <v>183</v>
      </c>
      <c r="AG568" t="s">
        <v>3</v>
      </c>
      <c r="AH568" t="s">
        <v>2</v>
      </c>
      <c r="AI568">
        <v>2.6615318017336999E-2</v>
      </c>
      <c r="AJ568">
        <v>5.3868412861003002E-2</v>
      </c>
      <c r="AK568" s="57">
        <v>0.95099999999999996</v>
      </c>
      <c r="AL568">
        <v>-0.13624354196069699</v>
      </c>
      <c r="AM568">
        <v>0.18947417799517099</v>
      </c>
    </row>
    <row r="569" spans="31:39">
      <c r="AH569" t="s">
        <v>1</v>
      </c>
      <c r="AI569">
        <v>3.7461182746683003E-2</v>
      </c>
      <c r="AJ569">
        <v>5.7539850798036002E-2</v>
      </c>
      <c r="AK569" s="57">
        <v>0.89900000000000002</v>
      </c>
      <c r="AL569">
        <v>-0.13842111498926499</v>
      </c>
      <c r="AM569">
        <v>0.21334348048243101</v>
      </c>
    </row>
    <row r="570" spans="31:39">
      <c r="AG570" t="s">
        <v>2</v>
      </c>
      <c r="AH570" t="s">
        <v>3</v>
      </c>
      <c r="AI570">
        <v>-2.6615318017336999E-2</v>
      </c>
      <c r="AJ570">
        <v>5.3868412861003002E-2</v>
      </c>
      <c r="AK570" s="57">
        <v>0.95099999999999996</v>
      </c>
      <c r="AL570">
        <v>-0.18947417799517099</v>
      </c>
      <c r="AM570">
        <v>0.13624354196069699</v>
      </c>
    </row>
    <row r="571" spans="31:39">
      <c r="AH571" t="s">
        <v>1</v>
      </c>
      <c r="AI571">
        <v>1.0845864729444999E-2</v>
      </c>
      <c r="AJ571">
        <v>6.1373372721907002E-2</v>
      </c>
      <c r="AK571" s="57">
        <v>0.997</v>
      </c>
      <c r="AL571">
        <v>-0.17410266906379199</v>
      </c>
      <c r="AM571">
        <v>0.19579439852248301</v>
      </c>
    </row>
    <row r="572" spans="31:39">
      <c r="AG572" t="s">
        <v>1</v>
      </c>
      <c r="AH572" t="s">
        <v>3</v>
      </c>
      <c r="AI572">
        <v>-3.7461182746683003E-2</v>
      </c>
      <c r="AJ572">
        <v>5.7539850798036002E-2</v>
      </c>
      <c r="AK572" s="57">
        <v>0.89900000000000002</v>
      </c>
      <c r="AL572">
        <v>-0.21334348048243101</v>
      </c>
      <c r="AM572">
        <v>0.13842111498926499</v>
      </c>
    </row>
    <row r="573" spans="31:39">
      <c r="AH573" t="s">
        <v>2</v>
      </c>
      <c r="AI573">
        <v>-1.0845864729444999E-2</v>
      </c>
      <c r="AJ573">
        <v>6.1373372721907002E-2</v>
      </c>
      <c r="AK573" s="57">
        <v>0.997</v>
      </c>
      <c r="AL573">
        <v>-0.19579439852248301</v>
      </c>
      <c r="AM573">
        <v>0.17410266906379199</v>
      </c>
    </row>
    <row r="574" spans="31:39">
      <c r="AF574" t="s">
        <v>184</v>
      </c>
      <c r="AG574" t="s">
        <v>3</v>
      </c>
      <c r="AH574" t="s">
        <v>2</v>
      </c>
      <c r="AI574">
        <v>2.6615318017336999E-2</v>
      </c>
      <c r="AJ574">
        <v>5.3868412861003002E-2</v>
      </c>
      <c r="AK574" s="57">
        <v>0.94299999999999995</v>
      </c>
      <c r="AL574">
        <v>-0.133617783864039</v>
      </c>
      <c r="AM574">
        <v>0.186848419898513</v>
      </c>
    </row>
    <row r="575" spans="31:39">
      <c r="AH575" t="s">
        <v>1</v>
      </c>
      <c r="AI575">
        <v>3.7461182746683003E-2</v>
      </c>
      <c r="AJ575">
        <v>5.7539850798036002E-2</v>
      </c>
      <c r="AK575" s="57">
        <v>0.88300000000000001</v>
      </c>
      <c r="AL575">
        <v>-0.13538900719946201</v>
      </c>
      <c r="AM575">
        <v>0.21031137269262801</v>
      </c>
    </row>
    <row r="576" spans="31:39">
      <c r="AG576" t="s">
        <v>2</v>
      </c>
      <c r="AH576" t="s">
        <v>3</v>
      </c>
      <c r="AI576">
        <v>-2.6615318017336999E-2</v>
      </c>
      <c r="AJ576">
        <v>5.3868412861003002E-2</v>
      </c>
      <c r="AK576" s="57">
        <v>0.94299999999999995</v>
      </c>
      <c r="AL576">
        <v>-0.186848419898513</v>
      </c>
      <c r="AM576">
        <v>0.133617783864039</v>
      </c>
    </row>
    <row r="577" spans="31:39">
      <c r="AH577" t="s">
        <v>1</v>
      </c>
      <c r="AI577">
        <v>1.0845864729444999E-2</v>
      </c>
      <c r="AJ577">
        <v>6.1373372721907002E-2</v>
      </c>
      <c r="AK577" s="57">
        <v>0.997</v>
      </c>
      <c r="AL577">
        <v>-0.17118055203164401</v>
      </c>
      <c r="AM577">
        <v>0.192872281490335</v>
      </c>
    </row>
    <row r="578" spans="31:39">
      <c r="AG578" t="s">
        <v>1</v>
      </c>
      <c r="AH578" t="s">
        <v>3</v>
      </c>
      <c r="AI578">
        <v>-3.7461182746683003E-2</v>
      </c>
      <c r="AJ578">
        <v>5.7539850798036002E-2</v>
      </c>
      <c r="AK578" s="57">
        <v>0.88300000000000001</v>
      </c>
      <c r="AL578">
        <v>-0.21031137269262801</v>
      </c>
      <c r="AM578">
        <v>0.13538900719946201</v>
      </c>
    </row>
    <row r="579" spans="31:39">
      <c r="AH579" t="s">
        <v>2</v>
      </c>
      <c r="AI579">
        <v>-1.0845864729444999E-2</v>
      </c>
      <c r="AJ579">
        <v>6.1373372721907002E-2</v>
      </c>
      <c r="AK579" s="57">
        <v>0.997</v>
      </c>
      <c r="AL579">
        <v>-0.192872281490335</v>
      </c>
      <c r="AM579">
        <v>0.17118055203164401</v>
      </c>
    </row>
    <row r="580" spans="31:39">
      <c r="AE580" t="s">
        <v>137</v>
      </c>
      <c r="AF580" t="s">
        <v>182</v>
      </c>
      <c r="AG580" t="s">
        <v>3</v>
      </c>
      <c r="AH580" t="s">
        <v>2</v>
      </c>
      <c r="AI580">
        <v>5.7076391053101999E-2</v>
      </c>
      <c r="AJ580">
        <v>5.0396775941666E-2</v>
      </c>
      <c r="AK580" s="57">
        <v>0.51300000000000001</v>
      </c>
      <c r="AL580">
        <v>-7.7375336021514002E-2</v>
      </c>
      <c r="AM580">
        <v>0.19152811812751899</v>
      </c>
    </row>
    <row r="581" spans="31:39">
      <c r="AH581" t="s">
        <v>1</v>
      </c>
      <c r="AI581">
        <v>6.1261137149416001E-2</v>
      </c>
      <c r="AJ581">
        <v>5.0396775941666E-2</v>
      </c>
      <c r="AK581" s="57">
        <v>0.46700000000000003</v>
      </c>
      <c r="AL581">
        <v>-7.3190589925200999E-2</v>
      </c>
      <c r="AM581">
        <v>0.19571286422383299</v>
      </c>
    </row>
    <row r="582" spans="31:39">
      <c r="AG582" t="s">
        <v>2</v>
      </c>
      <c r="AH582" t="s">
        <v>3</v>
      </c>
      <c r="AI582">
        <v>-5.7076391053101999E-2</v>
      </c>
      <c r="AJ582">
        <v>5.0396775941666E-2</v>
      </c>
      <c r="AK582" s="57">
        <v>0.51300000000000001</v>
      </c>
      <c r="AL582">
        <v>-0.19152811812751899</v>
      </c>
      <c r="AM582">
        <v>7.7375336021514002E-2</v>
      </c>
    </row>
    <row r="583" spans="31:39">
      <c r="AH583" t="s">
        <v>1</v>
      </c>
      <c r="AI583">
        <v>4.1847460964139997E-3</v>
      </c>
      <c r="AJ583">
        <v>5.0396775941666E-2</v>
      </c>
      <c r="AK583" s="57">
        <v>0.996</v>
      </c>
      <c r="AL583">
        <v>-0.130266980978203</v>
      </c>
      <c r="AM583">
        <v>0.13863647317083</v>
      </c>
    </row>
    <row r="584" spans="31:39">
      <c r="AG584" t="s">
        <v>1</v>
      </c>
      <c r="AH584" t="s">
        <v>3</v>
      </c>
      <c r="AI584">
        <v>-6.1261137149416001E-2</v>
      </c>
      <c r="AJ584">
        <v>5.0396775941666E-2</v>
      </c>
      <c r="AK584" s="57">
        <v>0.46700000000000003</v>
      </c>
      <c r="AL584">
        <v>-0.19571286422383299</v>
      </c>
      <c r="AM584">
        <v>7.3190589925200999E-2</v>
      </c>
    </row>
    <row r="585" spans="31:39">
      <c r="AH585" t="s">
        <v>2</v>
      </c>
      <c r="AI585">
        <v>-4.1847460964139997E-3</v>
      </c>
      <c r="AJ585">
        <v>5.0396775941666E-2</v>
      </c>
      <c r="AK585" s="57">
        <v>0.996</v>
      </c>
      <c r="AL585">
        <v>-0.13863647317083</v>
      </c>
      <c r="AM585">
        <v>0.130266980978203</v>
      </c>
    </row>
    <row r="586" spans="31:39">
      <c r="AF586" t="s">
        <v>183</v>
      </c>
      <c r="AG586" t="s">
        <v>3</v>
      </c>
      <c r="AH586" t="s">
        <v>2</v>
      </c>
      <c r="AI586">
        <v>5.7076391053101999E-2</v>
      </c>
      <c r="AJ586">
        <v>5.2086346519119003E-2</v>
      </c>
      <c r="AK586" s="57">
        <v>0.66500000000000004</v>
      </c>
      <c r="AL586">
        <v>-9.9995668387685005E-2</v>
      </c>
      <c r="AM586">
        <v>0.21414845049369</v>
      </c>
    </row>
    <row r="587" spans="31:39">
      <c r="AH587" t="s">
        <v>1</v>
      </c>
      <c r="AI587">
        <v>6.1261137149416001E-2</v>
      </c>
      <c r="AJ587">
        <v>4.7848282378301001E-2</v>
      </c>
      <c r="AK587" s="57">
        <v>0.55500000000000005</v>
      </c>
      <c r="AL587">
        <v>-8.2567070831708E-2</v>
      </c>
      <c r="AM587">
        <v>0.20508934513034</v>
      </c>
    </row>
    <row r="588" spans="31:39">
      <c r="AG588" t="s">
        <v>2</v>
      </c>
      <c r="AH588" t="s">
        <v>3</v>
      </c>
      <c r="AI588">
        <v>-5.7076391053101999E-2</v>
      </c>
      <c r="AJ588">
        <v>5.2086346519119003E-2</v>
      </c>
      <c r="AK588" s="57">
        <v>0.66500000000000004</v>
      </c>
      <c r="AL588">
        <v>-0.21414845049369</v>
      </c>
      <c r="AM588">
        <v>9.9995668387685005E-2</v>
      </c>
    </row>
    <row r="589" spans="31:39">
      <c r="AH589" t="s">
        <v>1</v>
      </c>
      <c r="AI589">
        <v>4.1847460964139997E-3</v>
      </c>
      <c r="AJ589">
        <v>5.1157203360622003E-2</v>
      </c>
      <c r="AK589" s="57">
        <v>1</v>
      </c>
      <c r="AL589">
        <v>-0.15053622282679799</v>
      </c>
      <c r="AM589">
        <v>0.15890571501942599</v>
      </c>
    </row>
    <row r="590" spans="31:39">
      <c r="AG590" t="s">
        <v>1</v>
      </c>
      <c r="AH590" t="s">
        <v>3</v>
      </c>
      <c r="AI590">
        <v>-6.1261137149416001E-2</v>
      </c>
      <c r="AJ590">
        <v>4.7848282378301001E-2</v>
      </c>
      <c r="AK590" s="57">
        <v>0.55500000000000005</v>
      </c>
      <c r="AL590">
        <v>-0.20508934513034</v>
      </c>
      <c r="AM590">
        <v>8.2567070831708E-2</v>
      </c>
    </row>
    <row r="591" spans="31:39">
      <c r="AH591" t="s">
        <v>2</v>
      </c>
      <c r="AI591">
        <v>-4.1847460964139997E-3</v>
      </c>
      <c r="AJ591">
        <v>5.1157203360622003E-2</v>
      </c>
      <c r="AK591" s="57">
        <v>1</v>
      </c>
      <c r="AL591">
        <v>-0.15890571501942599</v>
      </c>
      <c r="AM591">
        <v>0.15053622282679799</v>
      </c>
    </row>
    <row r="592" spans="31:39">
      <c r="AF592" t="s">
        <v>184</v>
      </c>
      <c r="AG592" t="s">
        <v>3</v>
      </c>
      <c r="AH592" t="s">
        <v>2</v>
      </c>
      <c r="AI592">
        <v>5.7076391053101999E-2</v>
      </c>
      <c r="AJ592">
        <v>5.2086346519119003E-2</v>
      </c>
      <c r="AK592" s="57">
        <v>0.63500000000000001</v>
      </c>
      <c r="AL592">
        <v>-9.7503040652231004E-2</v>
      </c>
      <c r="AM592">
        <v>0.211655822758236</v>
      </c>
    </row>
    <row r="593" spans="31:39">
      <c r="AH593" t="s">
        <v>1</v>
      </c>
      <c r="AI593">
        <v>6.1261137149416001E-2</v>
      </c>
      <c r="AJ593">
        <v>4.7848282378301001E-2</v>
      </c>
      <c r="AK593" s="57">
        <v>0.52400000000000002</v>
      </c>
      <c r="AL593">
        <v>-8.0330534335756001E-2</v>
      </c>
      <c r="AM593">
        <v>0.20285280863438801</v>
      </c>
    </row>
    <row r="594" spans="31:39">
      <c r="AG594" t="s">
        <v>2</v>
      </c>
      <c r="AH594" t="s">
        <v>3</v>
      </c>
      <c r="AI594">
        <v>-5.7076391053101999E-2</v>
      </c>
      <c r="AJ594">
        <v>5.2086346519119003E-2</v>
      </c>
      <c r="AK594" s="57">
        <v>0.63500000000000001</v>
      </c>
      <c r="AL594">
        <v>-0.211655822758236</v>
      </c>
      <c r="AM594">
        <v>9.7503040652231004E-2</v>
      </c>
    </row>
    <row r="595" spans="31:39">
      <c r="AH595" t="s">
        <v>1</v>
      </c>
      <c r="AI595">
        <v>4.1847460964139997E-3</v>
      </c>
      <c r="AJ595">
        <v>5.1157203360622003E-2</v>
      </c>
      <c r="AK595" s="57">
        <v>1</v>
      </c>
      <c r="AL595">
        <v>-0.148035771063141</v>
      </c>
      <c r="AM595">
        <v>0.15640526325576801</v>
      </c>
    </row>
    <row r="596" spans="31:39">
      <c r="AG596" t="s">
        <v>1</v>
      </c>
      <c r="AH596" t="s">
        <v>3</v>
      </c>
      <c r="AI596">
        <v>-6.1261137149416001E-2</v>
      </c>
      <c r="AJ596">
        <v>4.7848282378301001E-2</v>
      </c>
      <c r="AK596" s="57">
        <v>0.52400000000000002</v>
      </c>
      <c r="AL596">
        <v>-0.20285280863438801</v>
      </c>
      <c r="AM596">
        <v>8.0330534335756001E-2</v>
      </c>
    </row>
    <row r="597" spans="31:39">
      <c r="AH597" t="s">
        <v>2</v>
      </c>
      <c r="AI597">
        <v>-4.1847460964139997E-3</v>
      </c>
      <c r="AJ597">
        <v>5.1157203360622003E-2</v>
      </c>
      <c r="AK597" s="57">
        <v>1</v>
      </c>
      <c r="AL597">
        <v>-0.15640526325576801</v>
      </c>
      <c r="AM597">
        <v>0.148035771063141</v>
      </c>
    </row>
    <row r="598" spans="31:39">
      <c r="AE598" t="s">
        <v>46</v>
      </c>
      <c r="AF598" t="s">
        <v>182</v>
      </c>
      <c r="AG598" t="s">
        <v>3</v>
      </c>
      <c r="AH598" t="s">
        <v>2</v>
      </c>
      <c r="AI598">
        <v>-9.6438959028985E-2</v>
      </c>
      <c r="AJ598">
        <v>0.12767395727775099</v>
      </c>
      <c r="AK598" s="57">
        <v>0.73599999999999999</v>
      </c>
      <c r="AL598">
        <v>-0.43705566987392203</v>
      </c>
      <c r="AM598">
        <v>0.24417775181615201</v>
      </c>
    </row>
    <row r="599" spans="31:39">
      <c r="AH599" t="s">
        <v>1</v>
      </c>
      <c r="AI599">
        <v>0.15563536974703299</v>
      </c>
      <c r="AJ599">
        <v>0.12767395727775099</v>
      </c>
      <c r="AK599" s="57">
        <v>0.46500000000000002</v>
      </c>
      <c r="AL599">
        <v>-0.18498134109810499</v>
      </c>
      <c r="AM599">
        <v>0.49625208059197001</v>
      </c>
    </row>
    <row r="600" spans="31:39">
      <c r="AG600" t="s">
        <v>2</v>
      </c>
      <c r="AH600" t="s">
        <v>3</v>
      </c>
      <c r="AI600">
        <v>9.6438959028985E-2</v>
      </c>
      <c r="AJ600">
        <v>0.12767395727775099</v>
      </c>
      <c r="AK600" s="57">
        <v>0.73599999999999999</v>
      </c>
      <c r="AL600">
        <v>-0.24417775181615201</v>
      </c>
      <c r="AM600">
        <v>0.43705566987392203</v>
      </c>
    </row>
    <row r="601" spans="31:39">
      <c r="AH601" t="s">
        <v>1</v>
      </c>
      <c r="AI601">
        <v>0.25207432877591801</v>
      </c>
      <c r="AJ601">
        <v>0.12767395727775099</v>
      </c>
      <c r="AK601" s="57">
        <v>0.161</v>
      </c>
      <c r="AL601">
        <v>-8.8542382069219994E-2</v>
      </c>
      <c r="AM601">
        <v>0.59269103962085501</v>
      </c>
    </row>
    <row r="602" spans="31:39">
      <c r="AG602" t="s">
        <v>1</v>
      </c>
      <c r="AH602" t="s">
        <v>3</v>
      </c>
      <c r="AI602">
        <v>-0.15563536974703299</v>
      </c>
      <c r="AJ602">
        <v>0.12767395727775099</v>
      </c>
      <c r="AK602" s="57">
        <v>0.46500000000000002</v>
      </c>
      <c r="AL602">
        <v>-0.49625208059197001</v>
      </c>
      <c r="AM602">
        <v>0.18498134109810499</v>
      </c>
    </row>
    <row r="603" spans="31:39">
      <c r="AH603" t="s">
        <v>2</v>
      </c>
      <c r="AI603">
        <v>-0.25207432877591801</v>
      </c>
      <c r="AJ603">
        <v>0.12767395727775099</v>
      </c>
      <c r="AK603" s="57">
        <v>0.161</v>
      </c>
      <c r="AL603">
        <v>-0.59269103962085501</v>
      </c>
      <c r="AM603">
        <v>8.8542382069219994E-2</v>
      </c>
    </row>
    <row r="604" spans="31:39">
      <c r="AF604" t="s">
        <v>183</v>
      </c>
      <c r="AG604" t="s">
        <v>3</v>
      </c>
      <c r="AH604" t="s">
        <v>2</v>
      </c>
      <c r="AI604">
        <v>-9.6438959028985E-2</v>
      </c>
      <c r="AJ604">
        <v>0.14610448857800101</v>
      </c>
      <c r="AK604" s="57">
        <v>0.89600000000000002</v>
      </c>
      <c r="AL604">
        <v>-0.546222418690258</v>
      </c>
      <c r="AM604">
        <v>0.35334450063248801</v>
      </c>
    </row>
    <row r="605" spans="31:39">
      <c r="AH605" t="s">
        <v>1</v>
      </c>
      <c r="AI605">
        <v>0.15563536974703299</v>
      </c>
      <c r="AJ605">
        <v>0.102307468140101</v>
      </c>
      <c r="AK605" s="57">
        <v>0.434</v>
      </c>
      <c r="AL605">
        <v>-0.16495263372843999</v>
      </c>
      <c r="AM605">
        <v>0.47622337322230601</v>
      </c>
    </row>
    <row r="606" spans="31:39">
      <c r="AG606" t="s">
        <v>2</v>
      </c>
      <c r="AH606" t="s">
        <v>3</v>
      </c>
      <c r="AI606">
        <v>9.6438959028985E-2</v>
      </c>
      <c r="AJ606">
        <v>0.14610448857800101</v>
      </c>
      <c r="AK606" s="57">
        <v>0.89600000000000002</v>
      </c>
      <c r="AL606">
        <v>-0.35334450063248801</v>
      </c>
      <c r="AM606">
        <v>0.546222418690258</v>
      </c>
    </row>
    <row r="607" spans="31:39">
      <c r="AH607" t="s">
        <v>1</v>
      </c>
      <c r="AI607">
        <v>0.25207432877591801</v>
      </c>
      <c r="AJ607">
        <v>0.13072328974213099</v>
      </c>
      <c r="AK607" s="57">
        <v>0.28199999999999997</v>
      </c>
      <c r="AL607">
        <v>-0.18416676208611199</v>
      </c>
      <c r="AM607">
        <v>0.68831541963774701</v>
      </c>
    </row>
    <row r="608" spans="31:39">
      <c r="AG608" t="s">
        <v>1</v>
      </c>
      <c r="AH608" t="s">
        <v>3</v>
      </c>
      <c r="AI608">
        <v>-0.15563536974703299</v>
      </c>
      <c r="AJ608">
        <v>0.102307468140101</v>
      </c>
      <c r="AK608" s="57">
        <v>0.434</v>
      </c>
      <c r="AL608">
        <v>-0.47622337322230601</v>
      </c>
      <c r="AM608">
        <v>0.16495263372843999</v>
      </c>
    </row>
    <row r="609" spans="31:39">
      <c r="AH609" t="s">
        <v>2</v>
      </c>
      <c r="AI609">
        <v>-0.25207432877591801</v>
      </c>
      <c r="AJ609">
        <v>0.13072328974213099</v>
      </c>
      <c r="AK609" s="57">
        <v>0.28199999999999997</v>
      </c>
      <c r="AL609">
        <v>-0.68831541963774701</v>
      </c>
      <c r="AM609">
        <v>0.18416676208611199</v>
      </c>
    </row>
    <row r="610" spans="31:39">
      <c r="AF610" t="s">
        <v>184</v>
      </c>
      <c r="AG610" t="s">
        <v>3</v>
      </c>
      <c r="AH610" t="s">
        <v>2</v>
      </c>
      <c r="AI610">
        <v>-9.6438959028985E-2</v>
      </c>
      <c r="AJ610">
        <v>0.14610448857800101</v>
      </c>
      <c r="AK610" s="57">
        <v>0.879</v>
      </c>
      <c r="AL610">
        <v>-0.53813711893745897</v>
      </c>
      <c r="AM610">
        <v>0.34525920087968898</v>
      </c>
    </row>
    <row r="611" spans="31:39">
      <c r="AH611" t="s">
        <v>1</v>
      </c>
      <c r="AI611">
        <v>0.15563536974703299</v>
      </c>
      <c r="AJ611">
        <v>0.102307468140101</v>
      </c>
      <c r="AK611" s="57">
        <v>0.40200000000000002</v>
      </c>
      <c r="AL611">
        <v>-0.15858452160800901</v>
      </c>
      <c r="AM611">
        <v>0.46985526110187498</v>
      </c>
    </row>
    <row r="612" spans="31:39">
      <c r="AG612" t="s">
        <v>2</v>
      </c>
      <c r="AH612" t="s">
        <v>3</v>
      </c>
      <c r="AI612">
        <v>9.6438959028985E-2</v>
      </c>
      <c r="AJ612">
        <v>0.14610448857800101</v>
      </c>
      <c r="AK612" s="57">
        <v>0.879</v>
      </c>
      <c r="AL612">
        <v>-0.34525920087968898</v>
      </c>
      <c r="AM612">
        <v>0.53813711893745897</v>
      </c>
    </row>
    <row r="613" spans="31:39">
      <c r="AH613" t="s">
        <v>1</v>
      </c>
      <c r="AI613">
        <v>0.25207432877591801</v>
      </c>
      <c r="AJ613">
        <v>0.13072328974213099</v>
      </c>
      <c r="AK613" s="57">
        <v>0.254</v>
      </c>
      <c r="AL613">
        <v>-0.172338743667868</v>
      </c>
      <c r="AM613">
        <v>0.67648740121950302</v>
      </c>
    </row>
    <row r="614" spans="31:39">
      <c r="AG614" t="s">
        <v>1</v>
      </c>
      <c r="AH614" t="s">
        <v>3</v>
      </c>
      <c r="AI614">
        <v>-0.15563536974703299</v>
      </c>
      <c r="AJ614">
        <v>0.102307468140101</v>
      </c>
      <c r="AK614" s="57">
        <v>0.40200000000000002</v>
      </c>
      <c r="AL614">
        <v>-0.46985526110187498</v>
      </c>
      <c r="AM614">
        <v>0.15858452160800901</v>
      </c>
    </row>
    <row r="615" spans="31:39">
      <c r="AH615" t="s">
        <v>2</v>
      </c>
      <c r="AI615">
        <v>-0.25207432877591801</v>
      </c>
      <c r="AJ615">
        <v>0.13072328974213099</v>
      </c>
      <c r="AK615" s="57">
        <v>0.254</v>
      </c>
      <c r="AL615">
        <v>-0.67648740121950302</v>
      </c>
      <c r="AM615">
        <v>0.172338743667868</v>
      </c>
    </row>
    <row r="616" spans="31:39">
      <c r="AE616" t="s">
        <v>92</v>
      </c>
      <c r="AF616" t="s">
        <v>182</v>
      </c>
      <c r="AG616" t="s">
        <v>3</v>
      </c>
      <c r="AH616" t="s">
        <v>2</v>
      </c>
      <c r="AI616">
        <v>-0.797237562984766</v>
      </c>
      <c r="AJ616">
        <v>1.7002693429151801</v>
      </c>
      <c r="AK616" s="57">
        <v>0.88700000000000001</v>
      </c>
      <c r="AL616">
        <v>-5.3333243537683304</v>
      </c>
      <c r="AM616">
        <v>3.7388492277990002</v>
      </c>
    </row>
    <row r="617" spans="31:39">
      <c r="AH617" t="s">
        <v>1</v>
      </c>
      <c r="AI617">
        <v>-2.6339290109737199</v>
      </c>
      <c r="AJ617">
        <v>1.7002693429151801</v>
      </c>
      <c r="AK617" s="57">
        <v>0.30399999999999999</v>
      </c>
      <c r="AL617">
        <v>-7.1700158017572901</v>
      </c>
      <c r="AM617">
        <v>1.90215777981005</v>
      </c>
    </row>
    <row r="618" spans="31:39">
      <c r="AG618" t="s">
        <v>2</v>
      </c>
      <c r="AH618" t="s">
        <v>3</v>
      </c>
      <c r="AI618">
        <v>0.797237562984766</v>
      </c>
      <c r="AJ618">
        <v>1.7002693429151801</v>
      </c>
      <c r="AK618" s="57">
        <v>0.88700000000000001</v>
      </c>
      <c r="AL618">
        <v>-3.7388492277990002</v>
      </c>
      <c r="AM618">
        <v>5.3333243537683304</v>
      </c>
    </row>
    <row r="619" spans="31:39">
      <c r="AH619" t="s">
        <v>1</v>
      </c>
      <c r="AI619">
        <v>-1.8366914479890499</v>
      </c>
      <c r="AJ619">
        <v>1.7002693429151801</v>
      </c>
      <c r="AK619" s="57">
        <v>0.54400000000000004</v>
      </c>
      <c r="AL619">
        <v>-6.3727782387726197</v>
      </c>
      <c r="AM619">
        <v>2.6993953427947099</v>
      </c>
    </row>
    <row r="620" spans="31:39">
      <c r="AG620" t="s">
        <v>1</v>
      </c>
      <c r="AH620" t="s">
        <v>3</v>
      </c>
      <c r="AI620">
        <v>2.6339290109737199</v>
      </c>
      <c r="AJ620">
        <v>1.7002693429151801</v>
      </c>
      <c r="AK620" s="57">
        <v>0.30399999999999999</v>
      </c>
      <c r="AL620">
        <v>-1.90215777981005</v>
      </c>
      <c r="AM620">
        <v>7.1700158017572901</v>
      </c>
    </row>
    <row r="621" spans="31:39">
      <c r="AH621" t="s">
        <v>2</v>
      </c>
      <c r="AI621">
        <v>1.8366914479890499</v>
      </c>
      <c r="AJ621">
        <v>1.7002693429151801</v>
      </c>
      <c r="AK621" s="57">
        <v>0.54400000000000004</v>
      </c>
      <c r="AL621">
        <v>-2.6993953427947099</v>
      </c>
      <c r="AM621">
        <v>6.3727782387726197</v>
      </c>
    </row>
    <row r="622" spans="31:39">
      <c r="AF622" t="s">
        <v>183</v>
      </c>
      <c r="AG622" t="s">
        <v>3</v>
      </c>
      <c r="AH622" t="s">
        <v>2</v>
      </c>
      <c r="AI622">
        <v>-0.797237562984766</v>
      </c>
      <c r="AJ622">
        <v>1.6083372748901199</v>
      </c>
      <c r="AK622" s="57">
        <v>0.95099999999999996</v>
      </c>
      <c r="AL622">
        <v>-5.7221590956027804</v>
      </c>
      <c r="AM622">
        <v>4.1276839696334502</v>
      </c>
    </row>
    <row r="623" spans="31:39">
      <c r="AH623" t="s">
        <v>1</v>
      </c>
      <c r="AI623">
        <v>-2.6339290109737199</v>
      </c>
      <c r="AJ623">
        <v>1.63959376950924</v>
      </c>
      <c r="AK623" s="57">
        <v>0.38600000000000001</v>
      </c>
      <c r="AL623">
        <v>-7.6747301282342999</v>
      </c>
      <c r="AM623">
        <v>2.4068721062870599</v>
      </c>
    </row>
    <row r="624" spans="31:39">
      <c r="AG624" t="s">
        <v>2</v>
      </c>
      <c r="AH624" t="s">
        <v>3</v>
      </c>
      <c r="AI624">
        <v>0.797237562984766</v>
      </c>
      <c r="AJ624">
        <v>1.6083372748901199</v>
      </c>
      <c r="AK624" s="57">
        <v>0.95099999999999996</v>
      </c>
      <c r="AL624">
        <v>-4.1276839696334502</v>
      </c>
      <c r="AM624">
        <v>5.7221590956027804</v>
      </c>
    </row>
    <row r="625" spans="31:39">
      <c r="AH625" t="s">
        <v>1</v>
      </c>
      <c r="AI625">
        <v>-1.8366914479890499</v>
      </c>
      <c r="AJ625">
        <v>1.84329351882904</v>
      </c>
      <c r="AK625" s="57">
        <v>0.72299999999999998</v>
      </c>
      <c r="AL625">
        <v>-7.3762902378232802</v>
      </c>
      <c r="AM625">
        <v>3.70290734184537</v>
      </c>
    </row>
    <row r="626" spans="31:39">
      <c r="AG626" t="s">
        <v>1</v>
      </c>
      <c r="AH626" t="s">
        <v>3</v>
      </c>
      <c r="AI626">
        <v>2.6339290109737199</v>
      </c>
      <c r="AJ626">
        <v>1.63959376950924</v>
      </c>
      <c r="AK626" s="57">
        <v>0.38600000000000001</v>
      </c>
      <c r="AL626">
        <v>-2.4068721062870599</v>
      </c>
      <c r="AM626">
        <v>7.6747301282342999</v>
      </c>
    </row>
    <row r="627" spans="31:39">
      <c r="AH627" t="s">
        <v>2</v>
      </c>
      <c r="AI627">
        <v>1.8366914479890499</v>
      </c>
      <c r="AJ627">
        <v>1.84329351882904</v>
      </c>
      <c r="AK627" s="57">
        <v>0.72299999999999998</v>
      </c>
      <c r="AL627">
        <v>-3.70290734184537</v>
      </c>
      <c r="AM627">
        <v>7.3762902378232802</v>
      </c>
    </row>
    <row r="628" spans="31:39">
      <c r="AF628" t="s">
        <v>184</v>
      </c>
      <c r="AG628" t="s">
        <v>3</v>
      </c>
      <c r="AH628" t="s">
        <v>2</v>
      </c>
      <c r="AI628">
        <v>-0.797237562984766</v>
      </c>
      <c r="AJ628">
        <v>1.6083372748901199</v>
      </c>
      <c r="AK628" s="57">
        <v>0.94199999999999995</v>
      </c>
      <c r="AL628">
        <v>-5.6363581845036501</v>
      </c>
      <c r="AM628">
        <v>4.0418830585343102</v>
      </c>
    </row>
    <row r="629" spans="31:39">
      <c r="AH629" t="s">
        <v>1</v>
      </c>
      <c r="AI629">
        <v>-2.6339290109737199</v>
      </c>
      <c r="AJ629">
        <v>1.63959376950924</v>
      </c>
      <c r="AK629" s="57">
        <v>0.35799999999999998</v>
      </c>
      <c r="AL629">
        <v>-7.5848148856886901</v>
      </c>
      <c r="AM629">
        <v>2.3169568637414502</v>
      </c>
    </row>
    <row r="630" spans="31:39">
      <c r="AG630" t="s">
        <v>2</v>
      </c>
      <c r="AH630" t="s">
        <v>3</v>
      </c>
      <c r="AI630">
        <v>0.797237562984766</v>
      </c>
      <c r="AJ630">
        <v>1.6083372748901199</v>
      </c>
      <c r="AK630" s="57">
        <v>0.94199999999999995</v>
      </c>
      <c r="AL630">
        <v>-4.0418830585343102</v>
      </c>
      <c r="AM630">
        <v>5.6363581845036501</v>
      </c>
    </row>
    <row r="631" spans="31:39">
      <c r="AH631" t="s">
        <v>1</v>
      </c>
      <c r="AI631">
        <v>-1.8366914479890499</v>
      </c>
      <c r="AJ631">
        <v>1.84329351882904</v>
      </c>
      <c r="AK631" s="57">
        <v>0.69499999999999995</v>
      </c>
      <c r="AL631">
        <v>-7.2902675335329397</v>
      </c>
      <c r="AM631">
        <v>3.6168846375550299</v>
      </c>
    </row>
    <row r="632" spans="31:39">
      <c r="AG632" t="s">
        <v>1</v>
      </c>
      <c r="AH632" t="s">
        <v>3</v>
      </c>
      <c r="AI632">
        <v>2.6339290109737199</v>
      </c>
      <c r="AJ632">
        <v>1.63959376950924</v>
      </c>
      <c r="AK632" s="57">
        <v>0.35799999999999998</v>
      </c>
      <c r="AL632">
        <v>-2.3169568637414502</v>
      </c>
      <c r="AM632">
        <v>7.5848148856886901</v>
      </c>
    </row>
    <row r="633" spans="31:39">
      <c r="AH633" t="s">
        <v>2</v>
      </c>
      <c r="AI633">
        <v>1.8366914479890499</v>
      </c>
      <c r="AJ633">
        <v>1.84329351882904</v>
      </c>
      <c r="AK633" s="57">
        <v>0.69499999999999995</v>
      </c>
      <c r="AL633">
        <v>-3.6168846375550299</v>
      </c>
      <c r="AM633">
        <v>7.2902675335329397</v>
      </c>
    </row>
    <row r="634" spans="31:39">
      <c r="AE634" t="s">
        <v>93</v>
      </c>
      <c r="AF634" t="s">
        <v>182</v>
      </c>
      <c r="AG634" t="s">
        <v>3</v>
      </c>
      <c r="AH634" t="s">
        <v>2</v>
      </c>
      <c r="AI634">
        <v>-3.2075868966980101</v>
      </c>
      <c r="AJ634">
        <v>3.4501637982792501</v>
      </c>
      <c r="AK634" s="57">
        <v>0.63300000000000001</v>
      </c>
      <c r="AL634">
        <v>-12.412153512350599</v>
      </c>
      <c r="AM634">
        <v>5.9969797189547798</v>
      </c>
    </row>
    <row r="635" spans="31:39">
      <c r="AH635" t="s">
        <v>1</v>
      </c>
      <c r="AI635">
        <v>-4.7793405619568503</v>
      </c>
      <c r="AJ635">
        <v>3.4501637982792501</v>
      </c>
      <c r="AK635" s="57">
        <v>0.379</v>
      </c>
      <c r="AL635">
        <v>-13.983907177609399</v>
      </c>
      <c r="AM635">
        <v>4.4252260536959396</v>
      </c>
    </row>
    <row r="636" spans="31:39">
      <c r="AG636" t="s">
        <v>2</v>
      </c>
      <c r="AH636" t="s">
        <v>3</v>
      </c>
      <c r="AI636">
        <v>3.2075868966980101</v>
      </c>
      <c r="AJ636">
        <v>3.4501637982792501</v>
      </c>
      <c r="AK636" s="57">
        <v>0.63300000000000001</v>
      </c>
      <c r="AL636">
        <v>-5.9969797189547798</v>
      </c>
      <c r="AM636">
        <v>12.412153512350599</v>
      </c>
    </row>
    <row r="637" spans="31:39">
      <c r="AH637" t="s">
        <v>1</v>
      </c>
      <c r="AI637">
        <v>-1.5717536652589299</v>
      </c>
      <c r="AJ637">
        <v>3.4501637982792501</v>
      </c>
      <c r="AK637" s="57">
        <v>0.89300000000000002</v>
      </c>
      <c r="AL637">
        <v>-10.7763202809115</v>
      </c>
      <c r="AM637">
        <v>7.6328129503938502</v>
      </c>
    </row>
    <row r="638" spans="31:39">
      <c r="AG638" t="s">
        <v>1</v>
      </c>
      <c r="AH638" t="s">
        <v>3</v>
      </c>
      <c r="AI638">
        <v>4.7793405619568503</v>
      </c>
      <c r="AJ638">
        <v>3.4501637982792501</v>
      </c>
      <c r="AK638" s="57">
        <v>0.379</v>
      </c>
      <c r="AL638">
        <v>-4.4252260536959396</v>
      </c>
      <c r="AM638">
        <v>13.983907177609399</v>
      </c>
    </row>
    <row r="639" spans="31:39">
      <c r="AH639" t="s">
        <v>2</v>
      </c>
      <c r="AI639">
        <v>1.5717536652589299</v>
      </c>
      <c r="AJ639">
        <v>3.4501637982792501</v>
      </c>
      <c r="AK639" s="57">
        <v>0.89300000000000002</v>
      </c>
      <c r="AL639">
        <v>-7.6328129503938502</v>
      </c>
      <c r="AM639">
        <v>10.7763202809115</v>
      </c>
    </row>
    <row r="640" spans="31:39">
      <c r="AF640" t="s">
        <v>183</v>
      </c>
      <c r="AG640" t="s">
        <v>3</v>
      </c>
      <c r="AH640" t="s">
        <v>2</v>
      </c>
      <c r="AI640">
        <v>-3.2075868966980101</v>
      </c>
      <c r="AJ640">
        <v>3.0715843545320598</v>
      </c>
      <c r="AK640" s="57">
        <v>0.70799999999999996</v>
      </c>
      <c r="AL640">
        <v>-13.235913253580801</v>
      </c>
      <c r="AM640">
        <v>6.8207394601850204</v>
      </c>
    </row>
    <row r="641" spans="31:39">
      <c r="AH641" t="s">
        <v>1</v>
      </c>
      <c r="AI641">
        <v>-4.7793405619568503</v>
      </c>
      <c r="AJ641">
        <v>3.9772944356858599</v>
      </c>
      <c r="AK641" s="57">
        <v>0.60099999999999998</v>
      </c>
      <c r="AL641">
        <v>-16.742045288680998</v>
      </c>
      <c r="AM641">
        <v>7.1833641647675499</v>
      </c>
    </row>
    <row r="642" spans="31:39">
      <c r="AG642" t="s">
        <v>2</v>
      </c>
      <c r="AH642" t="s">
        <v>3</v>
      </c>
      <c r="AI642">
        <v>3.2075868966980101</v>
      </c>
      <c r="AJ642">
        <v>3.0715843545320598</v>
      </c>
      <c r="AK642" s="57">
        <v>0.70799999999999996</v>
      </c>
      <c r="AL642">
        <v>-6.8207394601850204</v>
      </c>
      <c r="AM642">
        <v>13.235913253580801</v>
      </c>
    </row>
    <row r="643" spans="31:39">
      <c r="AH643" t="s">
        <v>1</v>
      </c>
      <c r="AI643">
        <v>-1.5717536652589299</v>
      </c>
      <c r="AJ643">
        <v>3.23378868043757</v>
      </c>
      <c r="AK643" s="57">
        <v>0.95499999999999996</v>
      </c>
      <c r="AL643">
        <v>-12.2698294415513</v>
      </c>
      <c r="AM643">
        <v>9.1263221110336694</v>
      </c>
    </row>
    <row r="644" spans="31:39">
      <c r="AG644" t="s">
        <v>1</v>
      </c>
      <c r="AH644" t="s">
        <v>3</v>
      </c>
      <c r="AI644">
        <v>4.7793405619568503</v>
      </c>
      <c r="AJ644">
        <v>3.9772944356858599</v>
      </c>
      <c r="AK644" s="57">
        <v>0.60099999999999998</v>
      </c>
      <c r="AL644">
        <v>-7.1833641647675499</v>
      </c>
      <c r="AM644">
        <v>16.742045288680998</v>
      </c>
    </row>
    <row r="645" spans="31:39">
      <c r="AH645" t="s">
        <v>2</v>
      </c>
      <c r="AI645">
        <v>1.5717536652589299</v>
      </c>
      <c r="AJ645">
        <v>3.23378868043757</v>
      </c>
      <c r="AK645" s="57">
        <v>0.95499999999999996</v>
      </c>
      <c r="AL645">
        <v>-9.1263221110336694</v>
      </c>
      <c r="AM645">
        <v>12.2698294415513</v>
      </c>
    </row>
    <row r="646" spans="31:39">
      <c r="AF646" t="s">
        <v>184</v>
      </c>
      <c r="AG646" t="s">
        <v>3</v>
      </c>
      <c r="AH646" t="s">
        <v>2</v>
      </c>
      <c r="AI646">
        <v>-3.2075868966980101</v>
      </c>
      <c r="AJ646">
        <v>3.0715843545320598</v>
      </c>
      <c r="AK646" s="57">
        <v>0.67100000000000004</v>
      </c>
      <c r="AL646">
        <v>-12.990233216921901</v>
      </c>
      <c r="AM646">
        <v>6.5750594235260698</v>
      </c>
    </row>
    <row r="647" spans="31:39">
      <c r="AH647" t="s">
        <v>1</v>
      </c>
      <c r="AI647">
        <v>-4.7793405619568503</v>
      </c>
      <c r="AJ647">
        <v>3.9772944356858599</v>
      </c>
      <c r="AK647" s="57">
        <v>0.57099999999999995</v>
      </c>
      <c r="AL647">
        <v>-16.555305463938801</v>
      </c>
      <c r="AM647">
        <v>6.9966243400253401</v>
      </c>
    </row>
    <row r="648" spans="31:39">
      <c r="AG648" t="s">
        <v>2</v>
      </c>
      <c r="AH648" t="s">
        <v>3</v>
      </c>
      <c r="AI648">
        <v>3.2075868966980101</v>
      </c>
      <c r="AJ648">
        <v>3.0715843545320598</v>
      </c>
      <c r="AK648" s="57">
        <v>0.67100000000000004</v>
      </c>
      <c r="AL648">
        <v>-6.5750594235260698</v>
      </c>
      <c r="AM648">
        <v>12.990233216921901</v>
      </c>
    </row>
    <row r="649" spans="31:39">
      <c r="AH649" t="s">
        <v>1</v>
      </c>
      <c r="AI649">
        <v>-1.5717536652589299</v>
      </c>
      <c r="AJ649">
        <v>3.23378868043757</v>
      </c>
      <c r="AK649" s="57">
        <v>0.94499999999999995</v>
      </c>
      <c r="AL649">
        <v>-11.991010570274501</v>
      </c>
      <c r="AM649">
        <v>8.8475032397569109</v>
      </c>
    </row>
    <row r="650" spans="31:39">
      <c r="AG650" t="s">
        <v>1</v>
      </c>
      <c r="AH650" t="s">
        <v>3</v>
      </c>
      <c r="AI650">
        <v>4.7793405619568503</v>
      </c>
      <c r="AJ650">
        <v>3.9772944356858599</v>
      </c>
      <c r="AK650" s="57">
        <v>0.57099999999999995</v>
      </c>
      <c r="AL650">
        <v>-6.9966243400253401</v>
      </c>
      <c r="AM650">
        <v>16.555305463938801</v>
      </c>
    </row>
    <row r="651" spans="31:39">
      <c r="AH651" t="s">
        <v>2</v>
      </c>
      <c r="AI651">
        <v>1.5717536652589299</v>
      </c>
      <c r="AJ651">
        <v>3.23378868043757</v>
      </c>
      <c r="AK651" s="57">
        <v>0.94499999999999995</v>
      </c>
      <c r="AL651">
        <v>-8.8475032397569109</v>
      </c>
      <c r="AM651">
        <v>11.991010570274501</v>
      </c>
    </row>
    <row r="652" spans="31:39">
      <c r="AE652" t="s">
        <v>94</v>
      </c>
      <c r="AF652" t="s">
        <v>182</v>
      </c>
      <c r="AG652" t="s">
        <v>3</v>
      </c>
      <c r="AH652" t="s">
        <v>2</v>
      </c>
      <c r="AI652">
        <v>2.3610978872753501</v>
      </c>
      <c r="AJ652">
        <v>3.6854886187698601</v>
      </c>
      <c r="AK652" s="57">
        <v>0.80100000000000005</v>
      </c>
      <c r="AL652">
        <v>-7.4712832650677603</v>
      </c>
      <c r="AM652">
        <v>12.1934790396182</v>
      </c>
    </row>
    <row r="653" spans="31:39">
      <c r="AH653" t="s">
        <v>1</v>
      </c>
      <c r="AI653">
        <v>3.7228765524088598</v>
      </c>
      <c r="AJ653">
        <v>3.6854886187698601</v>
      </c>
      <c r="AK653" s="57">
        <v>0.58499999999999996</v>
      </c>
      <c r="AL653">
        <v>-6.1095045999342501</v>
      </c>
      <c r="AM653">
        <v>13.5552577047517</v>
      </c>
    </row>
    <row r="654" spans="31:39">
      <c r="AG654" t="s">
        <v>2</v>
      </c>
      <c r="AH654" t="s">
        <v>3</v>
      </c>
      <c r="AI654">
        <v>-2.3610978872753501</v>
      </c>
      <c r="AJ654">
        <v>3.6854886187698601</v>
      </c>
      <c r="AK654" s="57">
        <v>0.80100000000000005</v>
      </c>
      <c r="AL654">
        <v>-12.1934790396182</v>
      </c>
      <c r="AM654">
        <v>7.4712832650677603</v>
      </c>
    </row>
    <row r="655" spans="31:39">
      <c r="AH655" t="s">
        <v>1</v>
      </c>
      <c r="AI655">
        <v>1.3617786651336099</v>
      </c>
      <c r="AJ655">
        <v>3.6854886187698601</v>
      </c>
      <c r="AK655" s="57">
        <v>0.92800000000000005</v>
      </c>
      <c r="AL655">
        <v>-8.4706024872095096</v>
      </c>
      <c r="AM655">
        <v>11.1941598174765</v>
      </c>
    </row>
    <row r="656" spans="31:39">
      <c r="AG656" t="s">
        <v>1</v>
      </c>
      <c r="AH656" t="s">
        <v>3</v>
      </c>
      <c r="AI656">
        <v>-3.7228765524088598</v>
      </c>
      <c r="AJ656">
        <v>3.6854886187698601</v>
      </c>
      <c r="AK656" s="57">
        <v>0.58499999999999996</v>
      </c>
      <c r="AL656">
        <v>-13.5552577047517</v>
      </c>
      <c r="AM656">
        <v>6.1095045999342501</v>
      </c>
    </row>
    <row r="657" spans="31:39">
      <c r="AH657" t="s">
        <v>2</v>
      </c>
      <c r="AI657">
        <v>-1.3617786651336099</v>
      </c>
      <c r="AJ657">
        <v>3.6854886187698601</v>
      </c>
      <c r="AK657" s="57">
        <v>0.92800000000000005</v>
      </c>
      <c r="AL657">
        <v>-11.1941598174765</v>
      </c>
      <c r="AM657">
        <v>8.4706024872095096</v>
      </c>
    </row>
    <row r="658" spans="31:39">
      <c r="AF658" t="s">
        <v>183</v>
      </c>
      <c r="AG658" t="s">
        <v>3</v>
      </c>
      <c r="AH658" t="s">
        <v>2</v>
      </c>
      <c r="AI658">
        <v>2.3610978872753501</v>
      </c>
      <c r="AJ658">
        <v>3.0498811364640801</v>
      </c>
      <c r="AK658" s="57">
        <v>0.84499999999999997</v>
      </c>
      <c r="AL658">
        <v>-6.93448759547476</v>
      </c>
      <c r="AM658">
        <v>11.656683370025201</v>
      </c>
    </row>
    <row r="659" spans="31:39">
      <c r="AH659" t="s">
        <v>1</v>
      </c>
      <c r="AI659">
        <v>3.7228765524088598</v>
      </c>
      <c r="AJ659">
        <v>4.1026355759213997</v>
      </c>
      <c r="AK659" s="57">
        <v>0.77700000000000002</v>
      </c>
      <c r="AL659">
        <v>-8.9181253462803198</v>
      </c>
      <c r="AM659">
        <v>16.363878451097801</v>
      </c>
    </row>
    <row r="660" spans="31:39">
      <c r="AG660" t="s">
        <v>2</v>
      </c>
      <c r="AH660" t="s">
        <v>3</v>
      </c>
      <c r="AI660">
        <v>-2.3610978872753501</v>
      </c>
      <c r="AJ660">
        <v>3.0498811364640801</v>
      </c>
      <c r="AK660" s="57">
        <v>0.84499999999999997</v>
      </c>
      <c r="AL660">
        <v>-11.656683370025201</v>
      </c>
      <c r="AM660">
        <v>6.93448759547476</v>
      </c>
    </row>
    <row r="661" spans="31:39">
      <c r="AH661" t="s">
        <v>1</v>
      </c>
      <c r="AI661">
        <v>1.3617786651336099</v>
      </c>
      <c r="AJ661">
        <v>3.82296814816331</v>
      </c>
      <c r="AK661" s="57">
        <v>0.98099999999999998</v>
      </c>
      <c r="AL661">
        <v>-10.9325601902502</v>
      </c>
      <c r="AM661">
        <v>13.656117520517199</v>
      </c>
    </row>
    <row r="662" spans="31:39">
      <c r="AG662" t="s">
        <v>1</v>
      </c>
      <c r="AH662" t="s">
        <v>3</v>
      </c>
      <c r="AI662">
        <v>-3.7228765524088598</v>
      </c>
      <c r="AJ662">
        <v>4.1026355759213997</v>
      </c>
      <c r="AK662" s="57">
        <v>0.77700000000000002</v>
      </c>
      <c r="AL662">
        <v>-16.363878451097801</v>
      </c>
      <c r="AM662">
        <v>8.9181253462803198</v>
      </c>
    </row>
    <row r="663" spans="31:39">
      <c r="AH663" t="s">
        <v>2</v>
      </c>
      <c r="AI663">
        <v>-1.3617786651336099</v>
      </c>
      <c r="AJ663">
        <v>3.82296814816331</v>
      </c>
      <c r="AK663" s="57">
        <v>0.98099999999999998</v>
      </c>
      <c r="AL663">
        <v>-13.656117520517199</v>
      </c>
      <c r="AM663">
        <v>10.9325601902502</v>
      </c>
    </row>
    <row r="664" spans="31:39">
      <c r="AF664" t="s">
        <v>184</v>
      </c>
      <c r="AG664" t="s">
        <v>3</v>
      </c>
      <c r="AH664" t="s">
        <v>2</v>
      </c>
      <c r="AI664">
        <v>2.3610978872753501</v>
      </c>
      <c r="AJ664">
        <v>3.0498811364640801</v>
      </c>
      <c r="AK664" s="57">
        <v>0.82299999999999995</v>
      </c>
      <c r="AL664">
        <v>-6.7769998522624997</v>
      </c>
      <c r="AM664">
        <v>11.499195626813</v>
      </c>
    </row>
    <row r="665" spans="31:39">
      <c r="AH665" t="s">
        <v>1</v>
      </c>
      <c r="AI665">
        <v>3.7228765524088598</v>
      </c>
      <c r="AJ665">
        <v>4.1026355759213997</v>
      </c>
      <c r="AK665" s="57">
        <v>0.749</v>
      </c>
      <c r="AL665">
        <v>-8.6897385502799498</v>
      </c>
      <c r="AM665">
        <v>16.1354916550974</v>
      </c>
    </row>
    <row r="666" spans="31:39">
      <c r="AG666" t="s">
        <v>2</v>
      </c>
      <c r="AH666" t="s">
        <v>3</v>
      </c>
      <c r="AI666">
        <v>-2.3610978872753501</v>
      </c>
      <c r="AJ666">
        <v>3.0498811364640801</v>
      </c>
      <c r="AK666" s="57">
        <v>0.82299999999999995</v>
      </c>
      <c r="AL666">
        <v>-11.499195626813</v>
      </c>
      <c r="AM666">
        <v>6.7769998522624997</v>
      </c>
    </row>
    <row r="667" spans="31:39">
      <c r="AH667" t="s">
        <v>1</v>
      </c>
      <c r="AI667">
        <v>1.3617786651336099</v>
      </c>
      <c r="AJ667">
        <v>3.82296814816331</v>
      </c>
      <c r="AK667" s="57">
        <v>0.97699999999999998</v>
      </c>
      <c r="AL667">
        <v>-10.6528523869908</v>
      </c>
      <c r="AM667">
        <v>13.3764097172579</v>
      </c>
    </row>
    <row r="668" spans="31:39">
      <c r="AG668" t="s">
        <v>1</v>
      </c>
      <c r="AH668" t="s">
        <v>3</v>
      </c>
      <c r="AI668">
        <v>-3.7228765524088598</v>
      </c>
      <c r="AJ668">
        <v>4.1026355759213997</v>
      </c>
      <c r="AK668" s="57">
        <v>0.749</v>
      </c>
      <c r="AL668">
        <v>-16.1354916550974</v>
      </c>
      <c r="AM668">
        <v>8.6897385502799498</v>
      </c>
    </row>
    <row r="669" spans="31:39">
      <c r="AH669" t="s">
        <v>2</v>
      </c>
      <c r="AI669">
        <v>-1.3617786651336099</v>
      </c>
      <c r="AJ669">
        <v>3.82296814816331</v>
      </c>
      <c r="AK669" s="57">
        <v>0.97699999999999998</v>
      </c>
      <c r="AL669">
        <v>-13.3764097172579</v>
      </c>
      <c r="AM669">
        <v>10.6528523869908</v>
      </c>
    </row>
    <row r="670" spans="31:39">
      <c r="AE670" t="s">
        <v>138</v>
      </c>
      <c r="AF670" t="s">
        <v>182</v>
      </c>
      <c r="AG670" t="s">
        <v>3</v>
      </c>
      <c r="AH670" t="s">
        <v>2</v>
      </c>
      <c r="AI670">
        <v>5.1141650952052897</v>
      </c>
      <c r="AJ670">
        <v>3.20214079084817</v>
      </c>
      <c r="AK670" s="57">
        <v>0.28399999999999997</v>
      </c>
      <c r="AL670">
        <v>-3.4287099522812299</v>
      </c>
      <c r="AM670">
        <v>13.657040142691599</v>
      </c>
    </row>
    <row r="671" spans="31:39">
      <c r="AH671" t="s">
        <v>1</v>
      </c>
      <c r="AI671">
        <v>6.0739041279650401</v>
      </c>
      <c r="AJ671">
        <v>3.20214079084817</v>
      </c>
      <c r="AK671" s="57">
        <v>0.182</v>
      </c>
      <c r="AL671">
        <v>-2.4689709195214702</v>
      </c>
      <c r="AM671">
        <v>14.616779175451301</v>
      </c>
    </row>
    <row r="672" spans="31:39">
      <c r="AG672" t="s">
        <v>2</v>
      </c>
      <c r="AH672" t="s">
        <v>3</v>
      </c>
      <c r="AI672">
        <v>-5.1141650952052897</v>
      </c>
      <c r="AJ672">
        <v>3.20214079084817</v>
      </c>
      <c r="AK672" s="57">
        <v>0.28399999999999997</v>
      </c>
      <c r="AL672">
        <v>-13.657040142691599</v>
      </c>
      <c r="AM672">
        <v>3.4287099522812299</v>
      </c>
    </row>
    <row r="673" spans="31:39">
      <c r="AH673" t="s">
        <v>1</v>
      </c>
      <c r="AI673">
        <v>0.95973903275985295</v>
      </c>
      <c r="AJ673">
        <v>3.20214079084817</v>
      </c>
      <c r="AK673" s="57">
        <v>0.95199999999999996</v>
      </c>
      <c r="AL673">
        <v>-7.5831360147266702</v>
      </c>
      <c r="AM673">
        <v>9.50261408024617</v>
      </c>
    </row>
    <row r="674" spans="31:39">
      <c r="AG674" t="s">
        <v>1</v>
      </c>
      <c r="AH674" t="s">
        <v>3</v>
      </c>
      <c r="AI674">
        <v>-6.0739041279650401</v>
      </c>
      <c r="AJ674">
        <v>3.20214079084817</v>
      </c>
      <c r="AK674" s="57">
        <v>0.182</v>
      </c>
      <c r="AL674">
        <v>-14.616779175451301</v>
      </c>
      <c r="AM674">
        <v>2.4689709195214702</v>
      </c>
    </row>
    <row r="675" spans="31:39">
      <c r="AH675" t="s">
        <v>2</v>
      </c>
      <c r="AI675">
        <v>-0.95973903275985295</v>
      </c>
      <c r="AJ675">
        <v>3.20214079084817</v>
      </c>
      <c r="AK675" s="57">
        <v>0.95199999999999996</v>
      </c>
      <c r="AL675">
        <v>-9.50261408024617</v>
      </c>
      <c r="AM675">
        <v>7.5831360147266702</v>
      </c>
    </row>
    <row r="676" spans="31:39">
      <c r="AF676" t="s">
        <v>183</v>
      </c>
      <c r="AG676" t="s">
        <v>3</v>
      </c>
      <c r="AH676" t="s">
        <v>2</v>
      </c>
      <c r="AI676">
        <v>5.1141650952052897</v>
      </c>
      <c r="AJ676">
        <v>2.7336519774623902</v>
      </c>
      <c r="AK676" s="57">
        <v>0.27700000000000002</v>
      </c>
      <c r="AL676">
        <v>-3.3463336639135899</v>
      </c>
      <c r="AM676">
        <v>13.5746638543239</v>
      </c>
    </row>
    <row r="677" spans="31:39">
      <c r="AH677" t="s">
        <v>1</v>
      </c>
      <c r="AI677">
        <v>6.0739041279650401</v>
      </c>
      <c r="AJ677">
        <v>3.5948298605233502</v>
      </c>
      <c r="AK677" s="57">
        <v>0.34499999999999997</v>
      </c>
      <c r="AL677">
        <v>-4.8641225132142196</v>
      </c>
      <c r="AM677">
        <v>17.011930769144101</v>
      </c>
    </row>
    <row r="678" spans="31:39">
      <c r="AG678" t="s">
        <v>2</v>
      </c>
      <c r="AH678" t="s">
        <v>3</v>
      </c>
      <c r="AI678">
        <v>-5.1141650952052897</v>
      </c>
      <c r="AJ678">
        <v>2.7336519774623902</v>
      </c>
      <c r="AK678" s="57">
        <v>0.27700000000000002</v>
      </c>
      <c r="AL678">
        <v>-13.5746638543239</v>
      </c>
      <c r="AM678">
        <v>3.3463336639135899</v>
      </c>
    </row>
    <row r="679" spans="31:39">
      <c r="AH679" t="s">
        <v>1</v>
      </c>
      <c r="AI679">
        <v>0.95973903275985295</v>
      </c>
      <c r="AJ679">
        <v>3.2195437678725298</v>
      </c>
      <c r="AK679" s="57">
        <v>0.98899999999999999</v>
      </c>
      <c r="AL679">
        <v>-9.4239057099329209</v>
      </c>
      <c r="AM679">
        <v>11.3433837754524</v>
      </c>
    </row>
    <row r="680" spans="31:39">
      <c r="AG680" t="s">
        <v>1</v>
      </c>
      <c r="AH680" t="s">
        <v>3</v>
      </c>
      <c r="AI680">
        <v>-6.0739041279650401</v>
      </c>
      <c r="AJ680">
        <v>3.5948298605233502</v>
      </c>
      <c r="AK680" s="57">
        <v>0.34499999999999997</v>
      </c>
      <c r="AL680">
        <v>-17.011930769144101</v>
      </c>
      <c r="AM680">
        <v>4.8641225132142196</v>
      </c>
    </row>
    <row r="681" spans="31:39">
      <c r="AH681" t="s">
        <v>2</v>
      </c>
      <c r="AI681">
        <v>-0.95973903275985295</v>
      </c>
      <c r="AJ681">
        <v>3.2195437678725298</v>
      </c>
      <c r="AK681" s="57">
        <v>0.98899999999999999</v>
      </c>
      <c r="AL681">
        <v>-11.3433837754524</v>
      </c>
      <c r="AM681">
        <v>9.4239057099329209</v>
      </c>
    </row>
    <row r="682" spans="31:39">
      <c r="AF682" t="s">
        <v>184</v>
      </c>
      <c r="AG682" t="s">
        <v>3</v>
      </c>
      <c r="AH682" t="s">
        <v>2</v>
      </c>
      <c r="AI682">
        <v>5.1141650952052897</v>
      </c>
      <c r="AJ682">
        <v>2.7336519774623902</v>
      </c>
      <c r="AK682" s="57">
        <v>0.255</v>
      </c>
      <c r="AL682">
        <v>-3.1895137246079699</v>
      </c>
      <c r="AM682">
        <v>13.417843915018301</v>
      </c>
    </row>
    <row r="683" spans="31:39">
      <c r="AH683" t="s">
        <v>1</v>
      </c>
      <c r="AI683">
        <v>6.0739041279650401</v>
      </c>
      <c r="AJ683">
        <v>3.5948298605233502</v>
      </c>
      <c r="AK683" s="57">
        <v>0.32</v>
      </c>
      <c r="AL683">
        <v>-4.6806905948444903</v>
      </c>
      <c r="AM683">
        <v>16.828498850774299</v>
      </c>
    </row>
    <row r="684" spans="31:39">
      <c r="AG684" t="s">
        <v>2</v>
      </c>
      <c r="AH684" t="s">
        <v>3</v>
      </c>
      <c r="AI684">
        <v>-5.1141650952052897</v>
      </c>
      <c r="AJ684">
        <v>2.7336519774623902</v>
      </c>
      <c r="AK684" s="57">
        <v>0.255</v>
      </c>
      <c r="AL684">
        <v>-13.417843915018301</v>
      </c>
      <c r="AM684">
        <v>3.1895137246079699</v>
      </c>
    </row>
    <row r="685" spans="31:39">
      <c r="AH685" t="s">
        <v>1</v>
      </c>
      <c r="AI685">
        <v>0.95973903275985295</v>
      </c>
      <c r="AJ685">
        <v>3.2195437678725298</v>
      </c>
      <c r="AK685" s="57">
        <v>0.98599999999999999</v>
      </c>
      <c r="AL685">
        <v>-9.1842462946978003</v>
      </c>
      <c r="AM685">
        <v>11.103724360217299</v>
      </c>
    </row>
    <row r="686" spans="31:39">
      <c r="AG686" t="s">
        <v>1</v>
      </c>
      <c r="AH686" t="s">
        <v>3</v>
      </c>
      <c r="AI686">
        <v>-6.0739041279650401</v>
      </c>
      <c r="AJ686">
        <v>3.5948298605233502</v>
      </c>
      <c r="AK686" s="57">
        <v>0.32</v>
      </c>
      <c r="AL686">
        <v>-16.828498850774299</v>
      </c>
      <c r="AM686">
        <v>4.6806905948444903</v>
      </c>
    </row>
    <row r="687" spans="31:39">
      <c r="AH687" t="s">
        <v>2</v>
      </c>
      <c r="AI687">
        <v>-0.95973903275985295</v>
      </c>
      <c r="AJ687">
        <v>3.2195437678725298</v>
      </c>
      <c r="AK687" s="57">
        <v>0.98599999999999999</v>
      </c>
      <c r="AL687">
        <v>-11.103724360217299</v>
      </c>
      <c r="AM687">
        <v>9.1842462946978003</v>
      </c>
    </row>
    <row r="688" spans="31:39">
      <c r="AE688" t="s">
        <v>139</v>
      </c>
      <c r="AF688" t="s">
        <v>182</v>
      </c>
      <c r="AG688" t="s">
        <v>3</v>
      </c>
      <c r="AH688" t="s">
        <v>2</v>
      </c>
      <c r="AI688" t="s">
        <v>218</v>
      </c>
      <c r="AJ688">
        <v>0.56684272412629999</v>
      </c>
      <c r="AK688" s="57">
        <v>1E-3</v>
      </c>
      <c r="AL688">
        <v>-4.2653263120977698</v>
      </c>
      <c r="AM688">
        <v>-1.2408081037623</v>
      </c>
    </row>
    <row r="689" spans="32:39">
      <c r="AH689" t="s">
        <v>1</v>
      </c>
      <c r="AI689" t="s">
        <v>219</v>
      </c>
      <c r="AJ689">
        <v>0.56684272412629999</v>
      </c>
      <c r="AK689" s="57">
        <v>4.0000000000000001E-3</v>
      </c>
      <c r="AL689">
        <v>-3.86328667972401</v>
      </c>
      <c r="AM689">
        <v>-0.83876847138854105</v>
      </c>
    </row>
    <row r="690" spans="32:39">
      <c r="AG690" t="s">
        <v>2</v>
      </c>
      <c r="AH690" t="s">
        <v>3</v>
      </c>
      <c r="AI690" t="s">
        <v>220</v>
      </c>
      <c r="AJ690">
        <v>0.56684272412629999</v>
      </c>
      <c r="AK690" s="57">
        <v>1E-3</v>
      </c>
      <c r="AL690">
        <v>1.2408081037623</v>
      </c>
      <c r="AM690">
        <v>4.2653263120977698</v>
      </c>
    </row>
    <row r="691" spans="32:39">
      <c r="AH691" t="s">
        <v>1</v>
      </c>
      <c r="AI691">
        <v>0.40203963237385898</v>
      </c>
      <c r="AJ691">
        <v>0.56684272412629999</v>
      </c>
      <c r="AK691" s="57">
        <v>0.76300000000000001</v>
      </c>
      <c r="AL691">
        <v>-1.1102194717940701</v>
      </c>
      <c r="AM691">
        <v>1.91429873654159</v>
      </c>
    </row>
    <row r="692" spans="32:39">
      <c r="AG692" t="s">
        <v>1</v>
      </c>
      <c r="AH692" t="s">
        <v>3</v>
      </c>
      <c r="AI692" t="s">
        <v>221</v>
      </c>
      <c r="AJ692">
        <v>0.56684272412629999</v>
      </c>
      <c r="AK692" s="57">
        <v>4.0000000000000001E-3</v>
      </c>
      <c r="AL692">
        <v>0.83876847138854105</v>
      </c>
      <c r="AM692">
        <v>3.86328667972401</v>
      </c>
    </row>
    <row r="693" spans="32:39">
      <c r="AH693" t="s">
        <v>2</v>
      </c>
      <c r="AI693">
        <v>-0.40203963237385898</v>
      </c>
      <c r="AJ693">
        <v>0.56684272412629999</v>
      </c>
      <c r="AK693" s="57">
        <v>0.76300000000000001</v>
      </c>
      <c r="AL693">
        <v>-1.91429873654159</v>
      </c>
      <c r="AM693">
        <v>1.1102194717940701</v>
      </c>
    </row>
    <row r="694" spans="32:39">
      <c r="AF694" t="s">
        <v>183</v>
      </c>
      <c r="AG694" t="s">
        <v>3</v>
      </c>
      <c r="AH694" t="s">
        <v>2</v>
      </c>
      <c r="AI694" t="s">
        <v>218</v>
      </c>
      <c r="AJ694">
        <v>0.44819769120271302</v>
      </c>
      <c r="AK694" s="57">
        <v>4.0000000000000001E-3</v>
      </c>
      <c r="AL694">
        <v>-4.2990487253081699</v>
      </c>
      <c r="AM694">
        <v>-1.2070856905519001</v>
      </c>
    </row>
    <row r="695" spans="32:39">
      <c r="AH695" t="s">
        <v>1</v>
      </c>
      <c r="AI695" t="s">
        <v>219</v>
      </c>
      <c r="AJ695">
        <v>0.55547375120454101</v>
      </c>
      <c r="AK695" s="57">
        <v>2.7E-2</v>
      </c>
      <c r="AL695">
        <v>-4.3466276021668397</v>
      </c>
      <c r="AM695">
        <v>-0.35542754894571199</v>
      </c>
    </row>
    <row r="696" spans="32:39">
      <c r="AG696" t="s">
        <v>2</v>
      </c>
      <c r="AH696" t="s">
        <v>3</v>
      </c>
      <c r="AI696" t="s">
        <v>220</v>
      </c>
      <c r="AJ696">
        <v>0.44819769120271302</v>
      </c>
      <c r="AK696" s="57">
        <v>4.0000000000000001E-3</v>
      </c>
      <c r="AL696">
        <v>1.2070856905519001</v>
      </c>
      <c r="AM696">
        <v>4.2990487253081699</v>
      </c>
    </row>
    <row r="697" spans="32:39">
      <c r="AH697" t="s">
        <v>1</v>
      </c>
      <c r="AI697">
        <v>0.40203963237385898</v>
      </c>
      <c r="AJ697">
        <v>0.67416597586060401</v>
      </c>
      <c r="AK697" s="57">
        <v>0.92</v>
      </c>
      <c r="AL697">
        <v>-1.65237419116344</v>
      </c>
      <c r="AM697">
        <v>2.4564534559109599</v>
      </c>
    </row>
    <row r="698" spans="32:39">
      <c r="AG698" t="s">
        <v>1</v>
      </c>
      <c r="AH698" t="s">
        <v>3</v>
      </c>
      <c r="AI698" t="s">
        <v>221</v>
      </c>
      <c r="AJ698">
        <v>0.55547375120454101</v>
      </c>
      <c r="AK698" s="57">
        <v>2.7E-2</v>
      </c>
      <c r="AL698">
        <v>0.35542754894571199</v>
      </c>
      <c r="AM698">
        <v>4.3466276021668397</v>
      </c>
    </row>
    <row r="699" spans="32:39">
      <c r="AH699" t="s">
        <v>2</v>
      </c>
      <c r="AI699">
        <v>-0.40203963237385898</v>
      </c>
      <c r="AJ699">
        <v>0.67416597586060401</v>
      </c>
      <c r="AK699" s="57">
        <v>0.92</v>
      </c>
      <c r="AL699">
        <v>-2.4564534559109599</v>
      </c>
      <c r="AM699">
        <v>1.65237419116344</v>
      </c>
    </row>
    <row r="700" spans="32:39">
      <c r="AF700" t="s">
        <v>184</v>
      </c>
      <c r="AG700" t="s">
        <v>3</v>
      </c>
      <c r="AH700" t="s">
        <v>2</v>
      </c>
      <c r="AI700" t="s">
        <v>218</v>
      </c>
      <c r="AJ700">
        <v>0.44819769120271302</v>
      </c>
      <c r="AK700" s="57">
        <v>4.0000000000000001E-3</v>
      </c>
      <c r="AL700">
        <v>-4.2507529916528597</v>
      </c>
      <c r="AM700">
        <v>-1.2553814242072101</v>
      </c>
    </row>
    <row r="701" spans="32:39">
      <c r="AH701" t="s">
        <v>1</v>
      </c>
      <c r="AI701" t="s">
        <v>219</v>
      </c>
      <c r="AJ701">
        <v>0.55547375120454101</v>
      </c>
      <c r="AK701" s="57">
        <v>2.4E-2</v>
      </c>
      <c r="AL701">
        <v>-4.2736094163091698</v>
      </c>
      <c r="AM701">
        <v>-0.42844573480338599</v>
      </c>
    </row>
    <row r="702" spans="32:39">
      <c r="AG702" t="s">
        <v>2</v>
      </c>
      <c r="AH702" t="s">
        <v>3</v>
      </c>
      <c r="AI702" t="s">
        <v>220</v>
      </c>
      <c r="AJ702">
        <v>0.44819769120271302</v>
      </c>
      <c r="AK702" s="57">
        <v>4.0000000000000001E-3</v>
      </c>
      <c r="AL702">
        <v>1.2553814242072101</v>
      </c>
      <c r="AM702">
        <v>4.2507529916528597</v>
      </c>
    </row>
    <row r="703" spans="32:39">
      <c r="AH703" t="s">
        <v>1</v>
      </c>
      <c r="AI703">
        <v>0.40203963237385898</v>
      </c>
      <c r="AJ703">
        <v>0.67416597586060401</v>
      </c>
      <c r="AK703" s="57">
        <v>0.90700000000000003</v>
      </c>
      <c r="AL703">
        <v>-1.6176030210571699</v>
      </c>
      <c r="AM703">
        <v>2.4216822858046898</v>
      </c>
    </row>
    <row r="704" spans="32:39">
      <c r="AG704" t="s">
        <v>1</v>
      </c>
      <c r="AH704" t="s">
        <v>3</v>
      </c>
      <c r="AI704" t="s">
        <v>221</v>
      </c>
      <c r="AJ704">
        <v>0.55547375120454101</v>
      </c>
      <c r="AK704" s="57">
        <v>2.4E-2</v>
      </c>
      <c r="AL704">
        <v>0.42844573480338599</v>
      </c>
      <c r="AM704">
        <v>4.2736094163091698</v>
      </c>
    </row>
    <row r="705" spans="31:39">
      <c r="AH705" t="s">
        <v>2</v>
      </c>
      <c r="AI705">
        <v>-0.40203963237385898</v>
      </c>
      <c r="AJ705">
        <v>0.67416597586060401</v>
      </c>
      <c r="AK705" s="57">
        <v>0.90700000000000003</v>
      </c>
      <c r="AL705">
        <v>-2.4216822858046898</v>
      </c>
      <c r="AM705">
        <v>1.6176030210571699</v>
      </c>
    </row>
    <row r="706" spans="31:39">
      <c r="AE706" t="s">
        <v>140</v>
      </c>
      <c r="AF706" t="s">
        <v>182</v>
      </c>
      <c r="AG706" t="s">
        <v>3</v>
      </c>
      <c r="AH706" t="s">
        <v>2</v>
      </c>
      <c r="AI706">
        <v>2.4238920921728302</v>
      </c>
      <c r="AJ706">
        <v>2.2361759923179201</v>
      </c>
      <c r="AK706" s="57">
        <v>0.54100000000000004</v>
      </c>
      <c r="AL706">
        <v>-3.54192057326624</v>
      </c>
      <c r="AM706">
        <v>8.3897047576117103</v>
      </c>
    </row>
    <row r="707" spans="31:39">
      <c r="AH707" t="s">
        <v>1</v>
      </c>
      <c r="AI707">
        <v>3.2996144553841198</v>
      </c>
      <c r="AJ707">
        <v>2.2361759923179201</v>
      </c>
      <c r="AK707" s="57">
        <v>0.33600000000000002</v>
      </c>
      <c r="AL707">
        <v>-2.6661982100549499</v>
      </c>
      <c r="AM707">
        <v>9.2654271208230004</v>
      </c>
    </row>
    <row r="708" spans="31:39">
      <c r="AG708" t="s">
        <v>2</v>
      </c>
      <c r="AH708" t="s">
        <v>3</v>
      </c>
      <c r="AI708">
        <v>-2.4238920921728302</v>
      </c>
      <c r="AJ708">
        <v>2.2361759923179201</v>
      </c>
      <c r="AK708" s="57">
        <v>0.54100000000000004</v>
      </c>
      <c r="AL708">
        <v>-8.3897047576117103</v>
      </c>
      <c r="AM708">
        <v>3.54192057326624</v>
      </c>
    </row>
    <row r="709" spans="31:39">
      <c r="AH709" t="s">
        <v>1</v>
      </c>
      <c r="AI709">
        <v>0.87572236321139196</v>
      </c>
      <c r="AJ709">
        <v>2.2361759923179201</v>
      </c>
      <c r="AK709" s="57">
        <v>0.91900000000000004</v>
      </c>
      <c r="AL709">
        <v>-5.0900903022276802</v>
      </c>
      <c r="AM709">
        <v>6.8415350286502701</v>
      </c>
    </row>
    <row r="710" spans="31:39">
      <c r="AG710" t="s">
        <v>1</v>
      </c>
      <c r="AH710" t="s">
        <v>3</v>
      </c>
      <c r="AI710">
        <v>-3.2996144553841198</v>
      </c>
      <c r="AJ710">
        <v>2.2361759923179201</v>
      </c>
      <c r="AK710" s="57">
        <v>0.33600000000000002</v>
      </c>
      <c r="AL710">
        <v>-9.2654271208230004</v>
      </c>
      <c r="AM710">
        <v>2.6661982100549499</v>
      </c>
    </row>
    <row r="711" spans="31:39">
      <c r="AH711" t="s">
        <v>2</v>
      </c>
      <c r="AI711">
        <v>-0.87572236321139196</v>
      </c>
      <c r="AJ711">
        <v>2.2361759923179201</v>
      </c>
      <c r="AK711" s="57">
        <v>0.91900000000000004</v>
      </c>
      <c r="AL711">
        <v>-6.8415350286502701</v>
      </c>
      <c r="AM711">
        <v>5.0900903022276802</v>
      </c>
    </row>
    <row r="712" spans="31:39">
      <c r="AF712" t="s">
        <v>183</v>
      </c>
      <c r="AG712" t="s">
        <v>3</v>
      </c>
      <c r="AH712" t="s">
        <v>2</v>
      </c>
      <c r="AI712">
        <v>2.4238920921728302</v>
      </c>
      <c r="AJ712">
        <v>2.2105567048172698</v>
      </c>
      <c r="AK712" s="57">
        <v>0.67900000000000005</v>
      </c>
      <c r="AL712">
        <v>-4.8229526812471297</v>
      </c>
      <c r="AM712">
        <v>9.6707368655925894</v>
      </c>
    </row>
    <row r="713" spans="31:39">
      <c r="AH713" t="s">
        <v>1</v>
      </c>
      <c r="AI713">
        <v>3.2996144553841198</v>
      </c>
      <c r="AJ713">
        <v>2.5453634615472001</v>
      </c>
      <c r="AK713" s="57">
        <v>0.54800000000000004</v>
      </c>
      <c r="AL713">
        <v>-4.4201232419802903</v>
      </c>
      <c r="AM713">
        <v>11.019352152748301</v>
      </c>
    </row>
    <row r="714" spans="31:39">
      <c r="AG714" t="s">
        <v>2</v>
      </c>
      <c r="AH714" t="s">
        <v>3</v>
      </c>
      <c r="AI714">
        <v>-2.4238920921728302</v>
      </c>
      <c r="AJ714">
        <v>2.2105567048172698</v>
      </c>
      <c r="AK714" s="57">
        <v>0.67900000000000005</v>
      </c>
      <c r="AL714">
        <v>-9.6707368655925894</v>
      </c>
      <c r="AM714">
        <v>4.8229526812471297</v>
      </c>
    </row>
    <row r="715" spans="31:39">
      <c r="AH715" t="s">
        <v>1</v>
      </c>
      <c r="AI715">
        <v>0.87572236321139196</v>
      </c>
      <c r="AJ715">
        <v>1.9068332672955499</v>
      </c>
      <c r="AK715" s="57">
        <v>0.96099999999999997</v>
      </c>
      <c r="AL715">
        <v>-5.1401450240591098</v>
      </c>
      <c r="AM715">
        <v>6.8915897504816899</v>
      </c>
    </row>
    <row r="716" spans="31:39">
      <c r="AG716" t="s">
        <v>1</v>
      </c>
      <c r="AH716" t="s">
        <v>3</v>
      </c>
      <c r="AI716">
        <v>-3.2996144553841198</v>
      </c>
      <c r="AJ716">
        <v>2.5453634615472001</v>
      </c>
      <c r="AK716" s="57">
        <v>0.54800000000000004</v>
      </c>
      <c r="AL716">
        <v>-11.019352152748301</v>
      </c>
      <c r="AM716">
        <v>4.4201232419802903</v>
      </c>
    </row>
    <row r="717" spans="31:39">
      <c r="AH717" t="s">
        <v>2</v>
      </c>
      <c r="AI717">
        <v>-0.87572236321139196</v>
      </c>
      <c r="AJ717">
        <v>1.9068332672955499</v>
      </c>
      <c r="AK717" s="57">
        <v>0.96099999999999997</v>
      </c>
      <c r="AL717">
        <v>-6.8915897504816899</v>
      </c>
      <c r="AM717">
        <v>5.1401450240591098</v>
      </c>
    </row>
    <row r="718" spans="31:39">
      <c r="AF718" t="s">
        <v>184</v>
      </c>
      <c r="AG718" t="s">
        <v>3</v>
      </c>
      <c r="AH718" t="s">
        <v>2</v>
      </c>
      <c r="AI718">
        <v>2.4238920921728302</v>
      </c>
      <c r="AJ718">
        <v>2.2105567048172698</v>
      </c>
      <c r="AK718" s="57">
        <v>0.64</v>
      </c>
      <c r="AL718">
        <v>-4.6419179355018096</v>
      </c>
      <c r="AM718">
        <v>9.48970211984728</v>
      </c>
    </row>
    <row r="719" spans="31:39">
      <c r="AH719" t="s">
        <v>1</v>
      </c>
      <c r="AI719">
        <v>3.2996144553841198</v>
      </c>
      <c r="AJ719">
        <v>2.5453634615472001</v>
      </c>
      <c r="AK719" s="57">
        <v>0.51600000000000001</v>
      </c>
      <c r="AL719">
        <v>-4.2931989454540203</v>
      </c>
      <c r="AM719">
        <v>10.892427856222</v>
      </c>
    </row>
    <row r="720" spans="31:39">
      <c r="AG720" t="s">
        <v>2</v>
      </c>
      <c r="AH720" t="s">
        <v>3</v>
      </c>
      <c r="AI720">
        <v>-2.4238920921728302</v>
      </c>
      <c r="AJ720">
        <v>2.2105567048172698</v>
      </c>
      <c r="AK720" s="57">
        <v>0.64</v>
      </c>
      <c r="AL720">
        <v>-9.48970211984728</v>
      </c>
      <c r="AM720">
        <v>4.6419179355018096</v>
      </c>
    </row>
    <row r="721" spans="31:39">
      <c r="AH721" t="s">
        <v>1</v>
      </c>
      <c r="AI721">
        <v>0.87572236321139196</v>
      </c>
      <c r="AJ721">
        <v>1.9068332672955499</v>
      </c>
      <c r="AK721" s="57">
        <v>0.95299999999999996</v>
      </c>
      <c r="AL721">
        <v>-5.0161900869541602</v>
      </c>
      <c r="AM721">
        <v>6.7676348133767403</v>
      </c>
    </row>
    <row r="722" spans="31:39">
      <c r="AG722" t="s">
        <v>1</v>
      </c>
      <c r="AH722" t="s">
        <v>3</v>
      </c>
      <c r="AI722">
        <v>-3.2996144553841198</v>
      </c>
      <c r="AJ722">
        <v>2.5453634615472001</v>
      </c>
      <c r="AK722" s="57">
        <v>0.51600000000000001</v>
      </c>
      <c r="AL722">
        <v>-10.892427856222</v>
      </c>
      <c r="AM722">
        <v>4.2931989454540203</v>
      </c>
    </row>
    <row r="723" spans="31:39">
      <c r="AH723" t="s">
        <v>2</v>
      </c>
      <c r="AI723">
        <v>-0.87572236321139196</v>
      </c>
      <c r="AJ723">
        <v>1.9068332672955499</v>
      </c>
      <c r="AK723" s="57">
        <v>0.95299999999999996</v>
      </c>
      <c r="AL723">
        <v>-6.7676348133767403</v>
      </c>
      <c r="AM723">
        <v>5.0161900869541602</v>
      </c>
    </row>
    <row r="724" spans="31:39">
      <c r="AE724" t="s">
        <v>141</v>
      </c>
      <c r="AF724" t="s">
        <v>182</v>
      </c>
      <c r="AG724" t="s">
        <v>3</v>
      </c>
      <c r="AH724" t="s">
        <v>2</v>
      </c>
      <c r="AI724">
        <v>-0.58741210892911699</v>
      </c>
      <c r="AJ724">
        <v>0.46436184888775101</v>
      </c>
      <c r="AK724" s="57">
        <v>0.44</v>
      </c>
      <c r="AL724">
        <v>-1.8262662102868099</v>
      </c>
      <c r="AM724">
        <v>0.65144199242878198</v>
      </c>
    </row>
    <row r="725" spans="31:39">
      <c r="AH725" t="s">
        <v>1</v>
      </c>
      <c r="AI725">
        <v>-0.78466178863671898</v>
      </c>
      <c r="AJ725">
        <v>0.46436184888775101</v>
      </c>
      <c r="AK725" s="57">
        <v>0.249</v>
      </c>
      <c r="AL725">
        <v>-2.0235158899944099</v>
      </c>
      <c r="AM725">
        <v>0.45419231272117999</v>
      </c>
    </row>
    <row r="726" spans="31:39">
      <c r="AG726" t="s">
        <v>2</v>
      </c>
      <c r="AH726" t="s">
        <v>3</v>
      </c>
      <c r="AI726">
        <v>0.58741210892911699</v>
      </c>
      <c r="AJ726">
        <v>0.46436184888775101</v>
      </c>
      <c r="AK726" s="57">
        <v>0.44</v>
      </c>
      <c r="AL726">
        <v>-0.65144199242878198</v>
      </c>
      <c r="AM726">
        <v>1.8262662102868099</v>
      </c>
    </row>
    <row r="727" spans="31:39">
      <c r="AH727" t="s">
        <v>1</v>
      </c>
      <c r="AI727">
        <v>-0.19724967970770199</v>
      </c>
      <c r="AJ727">
        <v>0.46436184888775101</v>
      </c>
      <c r="AK727" s="57">
        <v>0.90600000000000003</v>
      </c>
      <c r="AL727">
        <v>-1.4361037810654</v>
      </c>
      <c r="AM727">
        <v>1.0416044216501901</v>
      </c>
    </row>
    <row r="728" spans="31:39">
      <c r="AG728" t="s">
        <v>1</v>
      </c>
      <c r="AH728" t="s">
        <v>3</v>
      </c>
      <c r="AI728">
        <v>0.78466178863671898</v>
      </c>
      <c r="AJ728">
        <v>0.46436184888775101</v>
      </c>
      <c r="AK728" s="57">
        <v>0.249</v>
      </c>
      <c r="AL728">
        <v>-0.45419231272117999</v>
      </c>
      <c r="AM728">
        <v>2.0235158899944099</v>
      </c>
    </row>
    <row r="729" spans="31:39">
      <c r="AH729" t="s">
        <v>2</v>
      </c>
      <c r="AI729">
        <v>0.19724967970770199</v>
      </c>
      <c r="AJ729">
        <v>0.46436184888775101</v>
      </c>
      <c r="AK729" s="57">
        <v>0.90600000000000003</v>
      </c>
      <c r="AL729">
        <v>-1.0416044216501901</v>
      </c>
      <c r="AM729">
        <v>1.4361037810654</v>
      </c>
    </row>
    <row r="730" spans="31:39">
      <c r="AF730" t="s">
        <v>183</v>
      </c>
      <c r="AG730" t="s">
        <v>3</v>
      </c>
      <c r="AH730" t="s">
        <v>2</v>
      </c>
      <c r="AI730">
        <v>-0.58741210892911699</v>
      </c>
      <c r="AJ730">
        <v>0.31702052961899502</v>
      </c>
      <c r="AK730" s="57">
        <v>0.28799999999999998</v>
      </c>
      <c r="AL730">
        <v>-1.5796519558540201</v>
      </c>
      <c r="AM730">
        <v>0.40482773799598898</v>
      </c>
    </row>
    <row r="731" spans="31:39">
      <c r="AH731" t="s">
        <v>1</v>
      </c>
      <c r="AI731">
        <v>-0.78466178863671898</v>
      </c>
      <c r="AJ731">
        <v>0.50302958970355205</v>
      </c>
      <c r="AK731" s="57">
        <v>0.44600000000000001</v>
      </c>
      <c r="AL731">
        <v>-2.5451135014438302</v>
      </c>
      <c r="AM731">
        <v>0.97578992417059196</v>
      </c>
    </row>
    <row r="732" spans="31:39">
      <c r="AG732" t="s">
        <v>2</v>
      </c>
      <c r="AH732" t="s">
        <v>3</v>
      </c>
      <c r="AI732">
        <v>0.58741210892911699</v>
      </c>
      <c r="AJ732">
        <v>0.31702052961899502</v>
      </c>
      <c r="AK732" s="57">
        <v>0.28799999999999998</v>
      </c>
      <c r="AL732">
        <v>-0.40482773799598898</v>
      </c>
      <c r="AM732">
        <v>1.5796519558540201</v>
      </c>
    </row>
    <row r="733" spans="31:39">
      <c r="AH733" t="s">
        <v>1</v>
      </c>
      <c r="AI733">
        <v>-0.19724967970770199</v>
      </c>
      <c r="AJ733">
        <v>0.541622558420634</v>
      </c>
      <c r="AK733" s="57">
        <v>0.98</v>
      </c>
      <c r="AL733">
        <v>-1.9413102744554001</v>
      </c>
      <c r="AM733">
        <v>1.5468109150402001</v>
      </c>
    </row>
    <row r="734" spans="31:39">
      <c r="AG734" t="s">
        <v>1</v>
      </c>
      <c r="AH734" t="s">
        <v>3</v>
      </c>
      <c r="AI734">
        <v>0.78466178863671898</v>
      </c>
      <c r="AJ734">
        <v>0.50302958970355205</v>
      </c>
      <c r="AK734" s="57">
        <v>0.44600000000000001</v>
      </c>
      <c r="AL734">
        <v>-0.97578992417059196</v>
      </c>
      <c r="AM734">
        <v>2.5451135014438302</v>
      </c>
    </row>
    <row r="735" spans="31:39">
      <c r="AH735" t="s">
        <v>2</v>
      </c>
      <c r="AI735">
        <v>0.19724967970770199</v>
      </c>
      <c r="AJ735">
        <v>0.541622558420634</v>
      </c>
      <c r="AK735" s="57">
        <v>0.98</v>
      </c>
      <c r="AL735">
        <v>-1.5468109150402001</v>
      </c>
      <c r="AM735">
        <v>1.9413102744554001</v>
      </c>
    </row>
    <row r="736" spans="31:39">
      <c r="AF736" t="s">
        <v>184</v>
      </c>
      <c r="AG736" t="s">
        <v>3</v>
      </c>
      <c r="AH736" t="s">
        <v>2</v>
      </c>
      <c r="AI736">
        <v>-0.58741210892911699</v>
      </c>
      <c r="AJ736">
        <v>0.31702052961899502</v>
      </c>
      <c r="AK736" s="57">
        <v>0.26400000000000001</v>
      </c>
      <c r="AL736">
        <v>-1.5600686553404599</v>
      </c>
      <c r="AM736">
        <v>0.38524443748243598</v>
      </c>
    </row>
    <row r="737" spans="31:39">
      <c r="AH737" t="s">
        <v>1</v>
      </c>
      <c r="AI737">
        <v>-0.78466178863671898</v>
      </c>
      <c r="AJ737">
        <v>0.50302958970355205</v>
      </c>
      <c r="AK737" s="57">
        <v>0.40300000000000002</v>
      </c>
      <c r="AL737">
        <v>-2.4868213998240001</v>
      </c>
      <c r="AM737">
        <v>0.91749782255076895</v>
      </c>
    </row>
    <row r="738" spans="31:39">
      <c r="AG738" t="s">
        <v>2</v>
      </c>
      <c r="AH738" t="s">
        <v>3</v>
      </c>
      <c r="AI738">
        <v>0.58741210892911699</v>
      </c>
      <c r="AJ738">
        <v>0.31702052961899502</v>
      </c>
      <c r="AK738" s="57">
        <v>0.26400000000000001</v>
      </c>
      <c r="AL738">
        <v>-0.38524443748243598</v>
      </c>
      <c r="AM738">
        <v>1.5600686553404599</v>
      </c>
    </row>
    <row r="739" spans="31:39">
      <c r="AH739" t="s">
        <v>1</v>
      </c>
      <c r="AI739">
        <v>-0.19724967970770199</v>
      </c>
      <c r="AJ739">
        <v>0.541622558420634</v>
      </c>
      <c r="AK739" s="57">
        <v>0.97499999999999998</v>
      </c>
      <c r="AL739">
        <v>-1.9013742081243099</v>
      </c>
      <c r="AM739">
        <v>1.5068748487091099</v>
      </c>
    </row>
    <row r="740" spans="31:39">
      <c r="AG740" t="s">
        <v>1</v>
      </c>
      <c r="AH740" t="s">
        <v>3</v>
      </c>
      <c r="AI740">
        <v>0.78466178863671898</v>
      </c>
      <c r="AJ740">
        <v>0.50302958970355205</v>
      </c>
      <c r="AK740" s="57">
        <v>0.40300000000000002</v>
      </c>
      <c r="AL740">
        <v>-0.91749782255076895</v>
      </c>
      <c r="AM740">
        <v>2.4868213998240001</v>
      </c>
    </row>
    <row r="741" spans="31:39">
      <c r="AH741" t="s">
        <v>2</v>
      </c>
      <c r="AI741">
        <v>0.19724967970770199</v>
      </c>
      <c r="AJ741">
        <v>0.541622558420634</v>
      </c>
      <c r="AK741" s="57">
        <v>0.97499999999999998</v>
      </c>
      <c r="AL741">
        <v>-1.5068748487091099</v>
      </c>
      <c r="AM741">
        <v>1.9013742081243099</v>
      </c>
    </row>
    <row r="742" spans="31:39">
      <c r="AE742" t="s">
        <v>142</v>
      </c>
      <c r="AF742" t="s">
        <v>182</v>
      </c>
      <c r="AG742" t="s">
        <v>3</v>
      </c>
      <c r="AH742" t="s">
        <v>2</v>
      </c>
      <c r="AI742" t="s">
        <v>222</v>
      </c>
      <c r="AJ742">
        <v>0.34182838656544101</v>
      </c>
      <c r="AK742" s="57">
        <v>0</v>
      </c>
      <c r="AL742">
        <v>6.66454556157605</v>
      </c>
      <c r="AM742">
        <v>8.4884486219646895</v>
      </c>
    </row>
    <row r="743" spans="31:39">
      <c r="AH743" t="s">
        <v>1</v>
      </c>
      <c r="AI743" t="s">
        <v>223</v>
      </c>
      <c r="AJ743">
        <v>0.34182838656544101</v>
      </c>
      <c r="AK743" s="57">
        <v>0</v>
      </c>
      <c r="AL743">
        <v>6.5363725328293496</v>
      </c>
      <c r="AM743">
        <v>8.3602755932180006</v>
      </c>
    </row>
    <row r="744" spans="31:39">
      <c r="AG744" t="s">
        <v>2</v>
      </c>
      <c r="AH744" t="s">
        <v>3</v>
      </c>
      <c r="AI744" t="s">
        <v>224</v>
      </c>
      <c r="AJ744">
        <v>0.34182838656544101</v>
      </c>
      <c r="AK744" s="57">
        <v>0</v>
      </c>
      <c r="AL744">
        <v>-8.4884486219646895</v>
      </c>
      <c r="AM744">
        <v>-6.66454556157605</v>
      </c>
    </row>
    <row r="745" spans="31:39">
      <c r="AH745" t="s">
        <v>1</v>
      </c>
      <c r="AI745">
        <v>-0.12817302874679401</v>
      </c>
      <c r="AJ745">
        <v>0.34182838656544101</v>
      </c>
      <c r="AK745" s="57">
        <v>0.92600000000000005</v>
      </c>
      <c r="AL745">
        <v>-1.0401245589411099</v>
      </c>
      <c r="AM745">
        <v>0.78377850144772898</v>
      </c>
    </row>
    <row r="746" spans="31:39">
      <c r="AG746" t="s">
        <v>1</v>
      </c>
      <c r="AH746" t="s">
        <v>3</v>
      </c>
      <c r="AI746" t="s">
        <v>225</v>
      </c>
      <c r="AJ746">
        <v>0.34182838656544101</v>
      </c>
      <c r="AK746" s="57">
        <v>0</v>
      </c>
      <c r="AL746">
        <v>-8.3602755932180006</v>
      </c>
      <c r="AM746">
        <v>-6.5363725328293496</v>
      </c>
    </row>
    <row r="747" spans="31:39">
      <c r="AH747" t="s">
        <v>2</v>
      </c>
      <c r="AI747">
        <v>0.12817302874679401</v>
      </c>
      <c r="AJ747">
        <v>0.34182838656544101</v>
      </c>
      <c r="AK747" s="57">
        <v>0.92600000000000005</v>
      </c>
      <c r="AL747">
        <v>-0.78377850144772898</v>
      </c>
      <c r="AM747">
        <v>1.0401245589411099</v>
      </c>
    </row>
    <row r="748" spans="31:39">
      <c r="AF748" t="s">
        <v>183</v>
      </c>
      <c r="AG748" t="s">
        <v>3</v>
      </c>
      <c r="AH748" t="s">
        <v>2</v>
      </c>
      <c r="AI748" t="s">
        <v>222</v>
      </c>
      <c r="AJ748">
        <v>0.38744988642525802</v>
      </c>
      <c r="AK748" s="57">
        <v>0</v>
      </c>
      <c r="AL748">
        <v>6.4123384799868397</v>
      </c>
      <c r="AM748">
        <v>8.7406557035538892</v>
      </c>
    </row>
    <row r="749" spans="31:39">
      <c r="AH749" t="s">
        <v>1</v>
      </c>
      <c r="AI749" t="s">
        <v>223</v>
      </c>
      <c r="AJ749">
        <v>0.31542663525520198</v>
      </c>
      <c r="AK749" s="57">
        <v>0</v>
      </c>
      <c r="AL749">
        <v>6.4394918301237603</v>
      </c>
      <c r="AM749">
        <v>8.4571562959235909</v>
      </c>
    </row>
    <row r="750" spans="31:39">
      <c r="AG750" t="s">
        <v>2</v>
      </c>
      <c r="AH750" t="s">
        <v>3</v>
      </c>
      <c r="AI750" t="s">
        <v>224</v>
      </c>
      <c r="AJ750">
        <v>0.38744988642525802</v>
      </c>
      <c r="AK750" s="57">
        <v>0</v>
      </c>
      <c r="AL750">
        <v>-8.7406557035538892</v>
      </c>
      <c r="AM750">
        <v>-6.4123384799868397</v>
      </c>
    </row>
    <row r="751" spans="31:39">
      <c r="AH751" t="s">
        <v>1</v>
      </c>
      <c r="AI751">
        <v>-0.12817302874679401</v>
      </c>
      <c r="AJ751">
        <v>0.317692557146739</v>
      </c>
      <c r="AK751" s="57">
        <v>0.97299999999999998</v>
      </c>
      <c r="AL751">
        <v>-1.1461512987292599</v>
      </c>
      <c r="AM751">
        <v>0.88980524123587601</v>
      </c>
    </row>
    <row r="752" spans="31:39">
      <c r="AG752" t="s">
        <v>1</v>
      </c>
      <c r="AH752" t="s">
        <v>3</v>
      </c>
      <c r="AI752" t="s">
        <v>225</v>
      </c>
      <c r="AJ752">
        <v>0.31542663525520198</v>
      </c>
      <c r="AK752" s="57">
        <v>0</v>
      </c>
      <c r="AL752">
        <v>-8.4571562959235909</v>
      </c>
      <c r="AM752">
        <v>-6.4394918301237603</v>
      </c>
    </row>
    <row r="753" spans="31:39">
      <c r="AH753" t="s">
        <v>2</v>
      </c>
      <c r="AI753">
        <v>0.12817302874679401</v>
      </c>
      <c r="AJ753">
        <v>0.317692557146739</v>
      </c>
      <c r="AK753" s="57">
        <v>0.97299999999999998</v>
      </c>
      <c r="AL753">
        <v>-0.88980524123587601</v>
      </c>
      <c r="AM753">
        <v>1.1461512987292599</v>
      </c>
    </row>
    <row r="754" spans="31:39">
      <c r="AF754" t="s">
        <v>184</v>
      </c>
      <c r="AG754" t="s">
        <v>3</v>
      </c>
      <c r="AH754" t="s">
        <v>2</v>
      </c>
      <c r="AI754" t="s">
        <v>222</v>
      </c>
      <c r="AJ754">
        <v>0.38744988642525802</v>
      </c>
      <c r="AK754" s="57">
        <v>0</v>
      </c>
      <c r="AL754">
        <v>6.4303932502291001</v>
      </c>
      <c r="AM754">
        <v>8.7226009333116394</v>
      </c>
    </row>
    <row r="755" spans="31:39">
      <c r="AH755" t="s">
        <v>1</v>
      </c>
      <c r="AI755" t="s">
        <v>223</v>
      </c>
      <c r="AJ755">
        <v>0.31542663525520198</v>
      </c>
      <c r="AK755" s="57">
        <v>0</v>
      </c>
      <c r="AL755">
        <v>6.4618151137442403</v>
      </c>
      <c r="AM755">
        <v>8.4348330123031001</v>
      </c>
    </row>
    <row r="756" spans="31:39">
      <c r="AG756" t="s">
        <v>2</v>
      </c>
      <c r="AH756" t="s">
        <v>3</v>
      </c>
      <c r="AI756" t="s">
        <v>224</v>
      </c>
      <c r="AJ756">
        <v>0.38744988642525802</v>
      </c>
      <c r="AK756" s="57">
        <v>0</v>
      </c>
      <c r="AL756">
        <v>-8.7226009333116394</v>
      </c>
      <c r="AM756">
        <v>-6.4303932502291001</v>
      </c>
    </row>
    <row r="757" spans="31:39">
      <c r="AH757" t="s">
        <v>1</v>
      </c>
      <c r="AI757">
        <v>-0.12817302874679401</v>
      </c>
      <c r="AJ757">
        <v>0.317692557146739</v>
      </c>
      <c r="AK757" s="57">
        <v>0.96699999999999997</v>
      </c>
      <c r="AL757">
        <v>-1.12341060917362</v>
      </c>
      <c r="AM757">
        <v>0.86706455168023699</v>
      </c>
    </row>
    <row r="758" spans="31:39">
      <c r="AG758" t="s">
        <v>1</v>
      </c>
      <c r="AH758" t="s">
        <v>3</v>
      </c>
      <c r="AI758" t="s">
        <v>225</v>
      </c>
      <c r="AJ758">
        <v>0.31542663525520198</v>
      </c>
      <c r="AK758" s="57">
        <v>0</v>
      </c>
      <c r="AL758">
        <v>-8.4348330123031001</v>
      </c>
      <c r="AM758">
        <v>-6.4618151137442403</v>
      </c>
    </row>
    <row r="759" spans="31:39">
      <c r="AH759" t="s">
        <v>2</v>
      </c>
      <c r="AI759">
        <v>0.12817302874679401</v>
      </c>
      <c r="AJ759">
        <v>0.317692557146739</v>
      </c>
      <c r="AK759" s="57">
        <v>0.96699999999999997</v>
      </c>
      <c r="AL759">
        <v>-0.86706455168023699</v>
      </c>
      <c r="AM759">
        <v>1.12341060917362</v>
      </c>
    </row>
    <row r="760" spans="31:39">
      <c r="AE760" t="s">
        <v>226</v>
      </c>
    </row>
  </sheetData>
  <mergeCells count="148">
    <mergeCell ref="AG1:AN1"/>
    <mergeCell ref="X91:AC91"/>
    <mergeCell ref="X83:X84"/>
    <mergeCell ref="X85:X86"/>
    <mergeCell ref="X87:AC87"/>
    <mergeCell ref="X88:AC88"/>
    <mergeCell ref="X89:AC89"/>
    <mergeCell ref="X90:AC90"/>
    <mergeCell ref="X59:X60"/>
    <mergeCell ref="X61:X62"/>
    <mergeCell ref="X63:X64"/>
    <mergeCell ref="X65:X66"/>
    <mergeCell ref="X67:X68"/>
    <mergeCell ref="X69:X70"/>
    <mergeCell ref="X35:X36"/>
    <mergeCell ref="X37:X38"/>
    <mergeCell ref="X39:X40"/>
    <mergeCell ref="X41:X42"/>
    <mergeCell ref="X43:X44"/>
    <mergeCell ref="X45:X46"/>
    <mergeCell ref="X9:X10"/>
    <mergeCell ref="X11:X12"/>
    <mergeCell ref="X13:X14"/>
    <mergeCell ref="X15:X16"/>
    <mergeCell ref="X17:X18"/>
    <mergeCell ref="X19:X20"/>
    <mergeCell ref="X1:AC1"/>
    <mergeCell ref="X2:Y2"/>
    <mergeCell ref="X3:X4"/>
    <mergeCell ref="X5:X6"/>
    <mergeCell ref="X7:X8"/>
    <mergeCell ref="X75:X76"/>
    <mergeCell ref="X77:X78"/>
    <mergeCell ref="X27:X28"/>
    <mergeCell ref="X29:X30"/>
    <mergeCell ref="X31:X32"/>
    <mergeCell ref="X33:X34"/>
    <mergeCell ref="X21:X22"/>
    <mergeCell ref="X23:X24"/>
    <mergeCell ref="X25:X26"/>
    <mergeCell ref="X79:X80"/>
    <mergeCell ref="X81:X82"/>
    <mergeCell ref="X71:X72"/>
    <mergeCell ref="X73:X74"/>
    <mergeCell ref="X51:X52"/>
    <mergeCell ref="X53:X54"/>
    <mergeCell ref="X55:X56"/>
    <mergeCell ref="X57:X58"/>
    <mergeCell ref="X47:X48"/>
    <mergeCell ref="X49:X50"/>
    <mergeCell ref="P123:P125"/>
    <mergeCell ref="P126:P128"/>
    <mergeCell ref="P87:P89"/>
    <mergeCell ref="P90:P92"/>
    <mergeCell ref="P93:P95"/>
    <mergeCell ref="P96:P98"/>
    <mergeCell ref="P99:P101"/>
    <mergeCell ref="P102:P104"/>
    <mergeCell ref="P51:P53"/>
    <mergeCell ref="P54:P56"/>
    <mergeCell ref="P57:P59"/>
    <mergeCell ref="P60:P62"/>
    <mergeCell ref="P63:P65"/>
    <mergeCell ref="P66:P68"/>
    <mergeCell ref="P120:P122"/>
    <mergeCell ref="P15:P17"/>
    <mergeCell ref="P18:P20"/>
    <mergeCell ref="P21:P23"/>
    <mergeCell ref="P24:P26"/>
    <mergeCell ref="P27:P29"/>
    <mergeCell ref="P30:P32"/>
    <mergeCell ref="P111:P113"/>
    <mergeCell ref="P114:P116"/>
    <mergeCell ref="P117:P119"/>
    <mergeCell ref="P105:P107"/>
    <mergeCell ref="P108:P110"/>
    <mergeCell ref="P75:P77"/>
    <mergeCell ref="P78:P80"/>
    <mergeCell ref="P81:P83"/>
    <mergeCell ref="P84:P86"/>
    <mergeCell ref="P69:P71"/>
    <mergeCell ref="P72:P74"/>
    <mergeCell ref="P39:P41"/>
    <mergeCell ref="P42:P44"/>
    <mergeCell ref="P45:P47"/>
    <mergeCell ref="P48:P50"/>
    <mergeCell ref="P33:P35"/>
    <mergeCell ref="P36:P38"/>
    <mergeCell ref="P3:P5"/>
    <mergeCell ref="P6:P8"/>
    <mergeCell ref="P9:P11"/>
    <mergeCell ref="P12:P14"/>
    <mergeCell ref="J1:N1"/>
    <mergeCell ref="J2"/>
    <mergeCell ref="P1:V1"/>
    <mergeCell ref="P2:Q2"/>
    <mergeCell ref="A126:H126"/>
    <mergeCell ref="A57:A59"/>
    <mergeCell ref="A60:A62"/>
    <mergeCell ref="A63:A65"/>
    <mergeCell ref="A66:A68"/>
    <mergeCell ref="A69:A70"/>
    <mergeCell ref="A72:A74"/>
    <mergeCell ref="A22:A24"/>
    <mergeCell ref="A25:A27"/>
    <mergeCell ref="A28:A30"/>
    <mergeCell ref="A31:A33"/>
    <mergeCell ref="A34:A36"/>
    <mergeCell ref="A37:A39"/>
    <mergeCell ref="A1:H1"/>
    <mergeCell ref="A2:B3"/>
    <mergeCell ref="C2:E2"/>
    <mergeCell ref="A16:A18"/>
    <mergeCell ref="A127:H127"/>
    <mergeCell ref="A128:H128"/>
    <mergeCell ref="A129:H129"/>
    <mergeCell ref="A130:H130"/>
    <mergeCell ref="A131:H131"/>
    <mergeCell ref="A94:A96"/>
    <mergeCell ref="A97:A99"/>
    <mergeCell ref="A100:A102"/>
    <mergeCell ref="A103:A105"/>
    <mergeCell ref="A106:A108"/>
    <mergeCell ref="A109:A111"/>
    <mergeCell ref="A19:A21"/>
    <mergeCell ref="F2:H2"/>
    <mergeCell ref="A4:A6"/>
    <mergeCell ref="A7:A9"/>
    <mergeCell ref="A118:A120"/>
    <mergeCell ref="A121:A123"/>
    <mergeCell ref="A124:H124"/>
    <mergeCell ref="A125:H125"/>
    <mergeCell ref="A112:A114"/>
    <mergeCell ref="A115:A117"/>
    <mergeCell ref="A81:A83"/>
    <mergeCell ref="A84:A86"/>
    <mergeCell ref="A87:A89"/>
    <mergeCell ref="A91:A93"/>
    <mergeCell ref="A75:A77"/>
    <mergeCell ref="A78:A80"/>
    <mergeCell ref="A46:A48"/>
    <mergeCell ref="A49:A51"/>
    <mergeCell ref="A52:A54"/>
    <mergeCell ref="A55:A56"/>
    <mergeCell ref="A40:A42"/>
    <mergeCell ref="A43:A45"/>
    <mergeCell ref="A10:A12"/>
    <mergeCell ref="A13:A15"/>
  </mergeCells>
  <conditionalFormatting sqref="H4:H123">
    <cfRule type="cellIs" dxfId="4" priority="5" operator="lessThan">
      <formula>0.05</formula>
    </cfRule>
  </conditionalFormatting>
  <conditionalFormatting sqref="N3:N44">
    <cfRule type="cellIs" dxfId="3" priority="4" operator="lessThan">
      <formula>0.05</formula>
    </cfRule>
  </conditionalFormatting>
  <conditionalFormatting sqref="V3:V128">
    <cfRule type="cellIs" dxfId="2" priority="3" operator="lessThan">
      <formula>0.05</formula>
    </cfRule>
  </conditionalFormatting>
  <conditionalFormatting sqref="AC3:AC86">
    <cfRule type="cellIs" dxfId="1" priority="2" operator="lessThan">
      <formula>0.05</formula>
    </cfRule>
  </conditionalFormatting>
  <conditionalFormatting sqref="AK4:AK759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Músculo LD</vt:lpstr>
      <vt:lpstr>ESTADÍSTICA</vt:lpstr>
      <vt:lpstr>NyH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Villora</dc:creator>
  <cp:lastModifiedBy>mercedes gonzalez</cp:lastModifiedBy>
  <dcterms:created xsi:type="dcterms:W3CDTF">2022-03-09T13:27:51Z</dcterms:created>
  <dcterms:modified xsi:type="dcterms:W3CDTF">2023-06-30T18:47:07Z</dcterms:modified>
</cp:coreProperties>
</file>